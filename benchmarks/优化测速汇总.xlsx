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3eb1fe98f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版对照34项" sheetId="1" r:id="R18801213811b4d7a"/>
    <x:sheet xmlns:r="http://schemas.openxmlformats.org/officeDocument/2006/relationships" name="复测与版本增量" sheetId="2" r:id="R74409bfc7b1a484c"/>
    <x:sheet xmlns:r="http://schemas.openxmlformats.org/officeDocument/2006/relationships" name="测试预设" sheetId="3" r:id="R9571fe1d61f14cdf"/>
    <x:sheet xmlns:r="http://schemas.openxmlformats.org/officeDocument/2006/relationships" name="测试配置" sheetId="4" r:id="R24cb0ce3606d42d6"/>
    <x:sheet xmlns:r="http://schemas.openxmlformats.org/officeDocument/2006/relationships" name="现有优化" sheetId="5" r:id="Rd611db428a634f11"/>
    <x:sheet xmlns:r="http://schemas.openxmlformats.org/officeDocument/2006/relationships" name="原始计时" sheetId="6" r:id="Ra32cef585716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000"/>
    <x:numFmt numFmtId="202" formatCode="#,##0.000"/>
    <x:numFmt numFmtId="203" formatCode="+0.00%;-0.00%;0.00%"/>
  </x:numFmts>
  <x:fonts count="5">
    <x:font>
      <x:sz val="11"/>
      <x:name val="Carlito"/>
    </x:font>
    <x:font>
      <x:sz val="11"/>
      <x:color rgb="FF233044"/>
      <x:name val="Arial"/>
    </x:font>
    <x:font>
      <x:b/>
      <x:sz val="15"/>
      <x:color rgb="FF183153"/>
      <x:name val="Arial"/>
    </x:font>
    <x:font>
      <x:i/>
      <x:sz val="10"/>
      <x:color rgb="FF596579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A61C28"/>
      </x:font>
      <x:fill>
        <x:patternFill patternType="solid">
          <x:bgColor rgb="FFFCE8E6"/>
        </x:patternFill>
      </x:fill>
    </x:dxf>
    <x:dxf>
      <x:font>
        <x:color rgb="FFA61C2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c370c248c47d7" /><Relationship Type="http://schemas.openxmlformats.org/officeDocument/2006/relationships/theme" Target="/xl/theme/theme1.xml" Id="Rb3d2c4c510ec4a72" /><Relationship Type="http://schemas.openxmlformats.org/officeDocument/2006/relationships/sharedStrings" Target="/xl/sharedStrings.xml" Id="R030307995b7749c5" /><Relationship Type="http://schemas.openxmlformats.org/officeDocument/2006/relationships/worksheet" Target="/xl/worksheets/sheet1.xml" Id="R18801213811b4d7a" /><Relationship Type="http://schemas.openxmlformats.org/officeDocument/2006/relationships/worksheet" Target="/xl/worksheets/sheet2.xml" Id="R74409bfc7b1a484c" /><Relationship Type="http://schemas.openxmlformats.org/officeDocument/2006/relationships/worksheet" Target="/xl/worksheets/sheet3.xml" Id="R9571fe1d61f14cdf" /><Relationship Type="http://schemas.openxmlformats.org/officeDocument/2006/relationships/worksheet" Target="/xl/worksheets/sheet4.xml" Id="R24cb0ce3606d42d6" /><Relationship Type="http://schemas.openxmlformats.org/officeDocument/2006/relationships/worksheet" Target="/xl/worksheets/sheet5.xml" Id="Rd611db428a634f11" /><Relationship Type="http://schemas.openxmlformats.org/officeDocument/2006/relationships/worksheet" Target="/xl/worksheets/sheet6.xml" Id="Ra32cef58571644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A5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62" hidden="0" customWidth="1"/>
    <x:col min="3" max="3" width="22" hidden="0" customWidth="1"/>
    <x:col min="4" max="4" width="24" hidden="0" customWidth="1"/>
    <x:col min="5" max="5" width="19" hidden="0" customWidth="1"/>
    <x:col min="6" max="6" width="18" hidden="0" customWidth="1"/>
    <x:col min="7" max="7" width="18" hidden="0" customWidth="1"/>
    <x:col min="8" max="8" width="15" hidden="0" customWidth="1"/>
    <x:col min="9" max="9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3" t="str">
        <x:v>历史原版对照：resource.15，34场景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历史初测；后续17没有同34项全量复测。均速按Σ完成种子/Σ实际秒计算；F02/F03/F06另看复测。</x:v>
      </x:c>
      <x:c r="B3" s="2"/>
      <x:c r="C3" s="2"/>
      <x:c r="D3" s="2"/>
      <x:c r="E3" s="2"/>
      <x:c r="F3" s="2"/>
      <x:c r="G3" s="2"/>
      <x:c r="H3" s="2"/>
      <x:c r="I3" s="2"/>
    </x:row>
    <x:row r="4" ht="35" customHeight="1">
      <x:c r="A4" s="8" t="str">
        <x:v>编号</x:v>
      </x:c>
      <x:c r="B4" s="8" t="str">
        <x:v>通用条件简称</x:v>
      </x:c>
      <x:c r="C4" s="8" t="str">
        <x:v>原版均速
百万种子/秒</x:v>
      </x:c>
      <x:c r="D4" s="8" t="str">
        <x:v>resource.15均速
百万种子/秒</x:v>
      </x:c>
      <x:c r="E4" s="8" t="str">
        <x:v>合并吞吐提升</x:v>
      </x:c>
      <x:c r="F4" s="8" t="str">
        <x:v>第1轮提升</x:v>
      </x:c>
      <x:c r="G4" s="8" t="str">
        <x:v>第2轮提升</x:v>
      </x:c>
      <x:c r="H4" s="8" t="str">
        <x:v>逐轮方向</x:v>
      </x:c>
      <x:c r="I4" s="8" t="str">
        <x:v>验证与复测提示</x:v>
      </x:c>
    </x:row>
    <x:row r="5" ht="42" customHeight="1">
      <x:c r="A5" s="2" t="str">
        <x:v>N01</x:v>
      </x:c>
      <x:c r="B5" s="11" t="str">
        <x:v>Bones 二遗物结果含万花筒（另一遗物不限）</x:v>
      </x:c>
      <x:c r="C5" s="13" t="n">
        <x:f>SUMIFS('原始计时'!$E$5:$E$264,'原始计时'!$A$5:$A$264,"resource15-full34-vs-upstream",'原始计时'!$B$5:$B$264,"N01",'原始计时'!$C$5:$C$264,"original")/SUMIFS('原始计时'!$F$5:$F$264,'原始计时'!$A$5:$A$264,"resource15-full34-vs-upstream",'原始计时'!$B$5:$B$264,"N01",'原始计时'!$C$5:$C$264,"original")/1000000</x:f>
        <x:v>1.0720638211234625</x:v>
      </x:c>
      <x:c r="D5" s="13" t="n">
        <x:f>SUMIFS('原始计时'!$E$5:$E$264,'原始计时'!$A$5:$A$264,"resource15-full34-vs-upstream",'原始计时'!$B$5:$B$264,"N01",'原始计时'!$C$5:$C$264,"optimized")/SUMIFS('原始计时'!$F$5:$F$264,'原始计时'!$A$5:$A$264,"resource15-full34-vs-upstream",'原始计时'!$B$5:$B$264,"N01",'原始计时'!$C$5:$C$264,"optimized")/1000000</x:f>
        <x:v>1.572732249832285</x:v>
      </x:c>
      <x:c r="E5" s="14" t="n">
        <x:f>D5/C5-1</x:f>
        <x:v>0.467013641206687</x:v>
      </x:c>
      <x:c r="F5" s="14" t="n">
        <x:f>SUMIFS('原始计时'!$E$5:$E$264,'原始计时'!$A$5:$A$264,"resource15-full34-vs-upstream",'原始计时'!$B$5:$B$264,"N01",'原始计时'!$C$5:$C$264,"optimized",'原始计时'!$D$5:$D$264,1)/SUMIFS('原始计时'!$F$5:$F$264,'原始计时'!$A$5:$A$264,"resource15-full34-vs-upstream",'原始计时'!$B$5:$B$264,"N01",'原始计时'!$C$5:$C$264,"optimized",'原始计时'!$D$5:$D$264,1)/1000000/(SUMIFS('原始计时'!$E$5:$E$264,'原始计时'!$A$5:$A$264,"resource15-full34-vs-upstream",'原始计时'!$B$5:$B$264,"N01",'原始计时'!$C$5:$C$264,"original",'原始计时'!$D$5:$D$264,1)/SUMIFS('原始计时'!$F$5:$F$264,'原始计时'!$A$5:$A$264,"resource15-full34-vs-upstream",'原始计时'!$B$5:$B$264,"N01",'原始计时'!$C$5:$C$264,"original",'原始计时'!$D$5:$D$264,1)/1000000)-1</x:f>
        <x:v>0.5833550755534402</x:v>
      </x:c>
      <x:c r="G5" s="14" t="n">
        <x:f>SUMIFS('原始计时'!$E$5:$E$264,'原始计时'!$A$5:$A$264,"resource15-full34-vs-upstream",'原始计时'!$B$5:$B$264,"N01",'原始计时'!$C$5:$C$264,"optimized",'原始计时'!$D$5:$D$264,2)/SUMIFS('原始计时'!$F$5:$F$264,'原始计时'!$A$5:$A$264,"resource15-full34-vs-upstream",'原始计时'!$B$5:$B$264,"N01",'原始计时'!$C$5:$C$264,"optimized",'原始计时'!$D$5:$D$264,2)/1000000/(SUMIFS('原始计时'!$E$5:$E$264,'原始计时'!$A$5:$A$264,"resource15-full34-vs-upstream",'原始计时'!$B$5:$B$264,"N01",'原始计时'!$C$5:$C$264,"original",'原始计时'!$D$5:$D$264,2)/SUMIFS('原始计时'!$F$5:$F$264,'原始计时'!$A$5:$A$264,"resource15-full34-vs-upstream",'原始计时'!$B$5:$B$264,"N01",'原始计时'!$C$5:$C$264,"original",'原始计时'!$D$5:$D$264,2)/1000000)-1</x:f>
        <x:v>0.35539958474800404</x:v>
      </x:c>
      <x:c r="H5" s="12" t="str">
        <x:f>IF(MIN(F5:G5)&gt;0,"两轮均正","含负轮次")</x:f>
        <x:v>两轮均正</x:v>
      </x:c>
      <x:c r="I5" s="11" t="str">
        <x:v>有限范围完整结果列表一致</x:v>
      </x:c>
    </x:row>
    <x:row r="6" ht="42" customHeight="1">
      <x:c r="A6" s="2" t="str">
        <x:v>N02</x:v>
      </x:c>
      <x:c r="B6" s="11" t="str">
        <x:v>Bones 二遗物结果为万花筒与小胶囊</x:v>
      </x:c>
      <x:c r="C6" s="13" t="n">
        <x:f>SUMIFS('原始计时'!$E$5:$E$264,'原始计时'!$A$5:$A$264,"resource15-full34-vs-upstream",'原始计时'!$B$5:$B$264,"N02",'原始计时'!$C$5:$C$264,"original")/SUMIFS('原始计时'!$F$5:$F$264,'原始计时'!$A$5:$A$264,"resource15-full34-vs-upstream",'原始计时'!$B$5:$B$264,"N02",'原始计时'!$C$5:$C$264,"original")/1000000</x:f>
        <x:v>2.285455509879804</x:v>
      </x:c>
      <x:c r="D6" s="13" t="n">
        <x:f>SUMIFS('原始计时'!$E$5:$E$264,'原始计时'!$A$5:$A$264,"resource15-full34-vs-upstream",'原始计时'!$B$5:$B$264,"N02",'原始计时'!$C$5:$C$264,"optimized")/SUMIFS('原始计时'!$F$5:$F$264,'原始计时'!$A$5:$A$264,"resource15-full34-vs-upstream",'原始计时'!$B$5:$B$264,"N02",'原始计时'!$C$5:$C$264,"optimized")/1000000</x:f>
        <x:v>17.481894682734055</x:v>
      </x:c>
      <x:c r="E6" s="14" t="n">
        <x:f>D6/C6-1</x:f>
        <x:v>6.64919492292084</x:v>
      </x:c>
      <x:c r="F6" s="14" t="n">
        <x:f>SUMIFS('原始计时'!$E$5:$E$264,'原始计时'!$A$5:$A$264,"resource15-full34-vs-upstream",'原始计时'!$B$5:$B$264,"N02",'原始计时'!$C$5:$C$264,"optimized",'原始计时'!$D$5:$D$264,1)/SUMIFS('原始计时'!$F$5:$F$264,'原始计时'!$A$5:$A$264,"resource15-full34-vs-upstream",'原始计时'!$B$5:$B$264,"N02",'原始计时'!$C$5:$C$264,"optimized",'原始计时'!$D$5:$D$264,1)/1000000/(SUMIFS('原始计时'!$E$5:$E$264,'原始计时'!$A$5:$A$264,"resource15-full34-vs-upstream",'原始计时'!$B$5:$B$264,"N02",'原始计时'!$C$5:$C$264,"original",'原始计时'!$D$5:$D$264,1)/SUMIFS('原始计时'!$F$5:$F$264,'原始计时'!$A$5:$A$264,"resource15-full34-vs-upstream",'原始计时'!$B$5:$B$264,"N02",'原始计时'!$C$5:$C$264,"original",'原始计时'!$D$5:$D$264,1)/1000000)-1</x:f>
        <x:v>6.898800649818869</x:v>
      </x:c>
      <x:c r="G6" s="14" t="n">
        <x:f>SUMIFS('原始计时'!$E$5:$E$264,'原始计时'!$A$5:$A$264,"resource15-full34-vs-upstream",'原始计时'!$B$5:$B$264,"N02",'原始计时'!$C$5:$C$264,"optimized",'原始计时'!$D$5:$D$264,2)/SUMIFS('原始计时'!$F$5:$F$264,'原始计时'!$A$5:$A$264,"resource15-full34-vs-upstream",'原始计时'!$B$5:$B$264,"N02",'原始计时'!$C$5:$C$264,"optimized",'原始计时'!$D$5:$D$264,2)/1000000/(SUMIFS('原始计时'!$E$5:$E$264,'原始计时'!$A$5:$A$264,"resource15-full34-vs-upstream",'原始计时'!$B$5:$B$264,"N02",'原始计时'!$C$5:$C$264,"original",'原始计时'!$D$5:$D$264,2)/SUMIFS('原始计时'!$F$5:$F$264,'原始计时'!$A$5:$A$264,"resource15-full34-vs-upstream",'原始计时'!$B$5:$B$264,"N02",'原始计时'!$C$5:$C$264,"original",'原始计时'!$D$5:$D$264,2)/1000000)-1</x:f>
        <x:v>6.402146647008919</x:v>
      </x:c>
      <x:c r="H6" s="12" t="str">
        <x:f>IF(MIN(F6:G6)&gt;0,"两轮均正","含负轮次")</x:f>
        <x:v>两轮均正</x:v>
      </x:c>
      <x:c r="I6" s="11" t="str">
        <x:v>有限范围完整结果列表一致</x:v>
      </x:c>
    </x:row>
    <x:row r="7" ht="42" customHeight="1">
      <x:c r="A7" s="2" t="str">
        <x:v>N03</x:v>
      </x:c>
      <x:c r="B7" s="11" t="str">
        <x:v>Bones 结果含万花筒且最终诅咒为 GUILTY</x:v>
      </x:c>
      <x:c r="C7" s="13" t="n">
        <x:f>SUMIFS('原始计时'!$E$5:$E$264,'原始计时'!$A$5:$A$264,"resource15-full34-vs-upstream",'原始计时'!$B$5:$B$264,"N03",'原始计时'!$C$5:$C$264,"original")/SUMIFS('原始计时'!$F$5:$F$264,'原始计时'!$A$5:$A$264,"resource15-full34-vs-upstream",'原始计时'!$B$5:$B$264,"N03",'原始计时'!$C$5:$C$264,"original")/1000000</x:f>
        <x:v>2.073339468635083</x:v>
      </x:c>
      <x:c r="D7" s="13" t="n">
        <x:f>SUMIFS('原始计时'!$E$5:$E$264,'原始计时'!$A$5:$A$264,"resource15-full34-vs-upstream",'原始计时'!$B$5:$B$264,"N03",'原始计时'!$C$5:$C$264,"optimized")/SUMIFS('原始计时'!$F$5:$F$264,'原始计时'!$A$5:$A$264,"resource15-full34-vs-upstream",'原始计时'!$B$5:$B$264,"N03",'原始计时'!$C$5:$C$264,"optimized")/1000000</x:f>
        <x:v>9.17748535688557</x:v>
      </x:c>
      <x:c r="E7" s="14" t="n">
        <x:f>D7/C7-1</x:f>
        <x:v>3.4264267842869343</x:v>
      </x:c>
      <x:c r="F7" s="14" t="n">
        <x:f>SUMIFS('原始计时'!$E$5:$E$264,'原始计时'!$A$5:$A$264,"resource15-full34-vs-upstream",'原始计时'!$B$5:$B$264,"N03",'原始计时'!$C$5:$C$264,"optimized",'原始计时'!$D$5:$D$264,1)/SUMIFS('原始计时'!$F$5:$F$264,'原始计时'!$A$5:$A$264,"resource15-full34-vs-upstream",'原始计时'!$B$5:$B$264,"N03",'原始计时'!$C$5:$C$264,"optimized",'原始计时'!$D$5:$D$264,1)/1000000/(SUMIFS('原始计时'!$E$5:$E$264,'原始计时'!$A$5:$A$264,"resource15-full34-vs-upstream",'原始计时'!$B$5:$B$264,"N03",'原始计时'!$C$5:$C$264,"original",'原始计时'!$D$5:$D$264,1)/SUMIFS('原始计时'!$F$5:$F$264,'原始计时'!$A$5:$A$264,"resource15-full34-vs-upstream",'原始计时'!$B$5:$B$264,"N03",'原始计时'!$C$5:$C$264,"original",'原始计时'!$D$5:$D$264,1)/1000000)-1</x:f>
        <x:v>3.50824823899565</x:v>
      </x:c>
      <x:c r="G7" s="14" t="n">
        <x:f>SUMIFS('原始计时'!$E$5:$E$264,'原始计时'!$A$5:$A$264,"resource15-full34-vs-upstream",'原始计时'!$B$5:$B$264,"N03",'原始计时'!$C$5:$C$264,"optimized",'原始计时'!$D$5:$D$264,2)/SUMIFS('原始计时'!$F$5:$F$264,'原始计时'!$A$5:$A$264,"resource15-full34-vs-upstream",'原始计时'!$B$5:$B$264,"N03",'原始计时'!$C$5:$C$264,"optimized",'原始计时'!$D$5:$D$264,2)/1000000/(SUMIFS('原始计时'!$E$5:$E$264,'原始计时'!$A$5:$A$264,"resource15-full34-vs-upstream",'原始计时'!$B$5:$B$264,"N03",'原始计时'!$C$5:$C$264,"original",'原始计时'!$D$5:$D$264,2)/SUMIFS('原始计时'!$F$5:$F$264,'原始计时'!$A$5:$A$264,"resource15-full34-vs-upstream",'原始计时'!$B$5:$B$264,"N03",'原始计时'!$C$5:$C$264,"original",'原始计时'!$D$5:$D$264,2)/1000000)-1</x:f>
        <x:v>3.3497966687436067</x:v>
      </x:c>
      <x:c r="H7" s="12" t="str">
        <x:f>IF(MIN(F7:G7)&gt;0,"两轮均正","含负轮次")</x:f>
        <x:v>两轮均正</x:v>
      </x:c>
      <x:c r="I7" s="11" t="str">
        <x:v>有限范围完整结果列表一致</x:v>
      </x:c>
    </x:row>
    <x:row r="8" ht="42" customHeight="1">
      <x:c r="A8" s="2" t="str">
        <x:v>N04</x:v>
      </x:c>
      <x:c r="B8" s="11" t="str">
        <x:v>Bones 结果为万花筒与小胶囊且最终诅咒为 GUILTY</x:v>
      </x:c>
      <x:c r="C8" s="13" t="n">
        <x:f>SUMIFS('原始计时'!$E$5:$E$264,'原始计时'!$A$5:$A$264,"resource15-full34-vs-upstream",'原始计时'!$B$5:$B$264,"N04",'原始计时'!$C$5:$C$264,"original")/SUMIFS('原始计时'!$F$5:$F$264,'原始计时'!$A$5:$A$264,"resource15-full34-vs-upstream",'原始计时'!$B$5:$B$264,"N04",'原始计时'!$C$5:$C$264,"original")/1000000</x:f>
        <x:v>7.987551159698981</x:v>
      </x:c>
      <x:c r="D8" s="13" t="n">
        <x:f>SUMIFS('原始计时'!$E$5:$E$264,'原始计时'!$A$5:$A$264,"resource15-full34-vs-upstream",'原始计时'!$B$5:$B$264,"N04",'原始计时'!$C$5:$C$264,"optimized")/SUMIFS('原始计时'!$F$5:$F$264,'原始计时'!$A$5:$A$264,"resource15-full34-vs-upstream",'原始计时'!$B$5:$B$264,"N04",'原始计时'!$C$5:$C$264,"optimized")/1000000</x:f>
        <x:v>28.68602629789058</x:v>
      </x:c>
      <x:c r="E8" s="14" t="n">
        <x:f>D8/C8-1</x:f>
        <x:v>2.5913417922911486</x:v>
      </x:c>
      <x:c r="F8" s="14" t="n">
        <x:f>SUMIFS('原始计时'!$E$5:$E$264,'原始计时'!$A$5:$A$264,"resource15-full34-vs-upstream",'原始计时'!$B$5:$B$264,"N04",'原始计时'!$C$5:$C$264,"optimized",'原始计时'!$D$5:$D$264,1)/SUMIFS('原始计时'!$F$5:$F$264,'原始计时'!$A$5:$A$264,"resource15-full34-vs-upstream",'原始计时'!$B$5:$B$264,"N04",'原始计时'!$C$5:$C$264,"optimized",'原始计时'!$D$5:$D$264,1)/1000000/(SUMIFS('原始计时'!$E$5:$E$264,'原始计时'!$A$5:$A$264,"resource15-full34-vs-upstream",'原始计时'!$B$5:$B$264,"N04",'原始计时'!$C$5:$C$264,"original",'原始计时'!$D$5:$D$264,1)/SUMIFS('原始计时'!$F$5:$F$264,'原始计时'!$A$5:$A$264,"resource15-full34-vs-upstream",'原始计时'!$B$5:$B$264,"N04",'原始计时'!$C$5:$C$264,"original",'原始计时'!$D$5:$D$264,1)/1000000)-1</x:f>
        <x:v>2.641540777994337</x:v>
      </x:c>
      <x:c r="G8" s="14" t="n">
        <x:f>SUMIFS('原始计时'!$E$5:$E$264,'原始计时'!$A$5:$A$264,"resource15-full34-vs-upstream",'原始计时'!$B$5:$B$264,"N04",'原始计时'!$C$5:$C$264,"optimized",'原始计时'!$D$5:$D$264,2)/SUMIFS('原始计时'!$F$5:$F$264,'原始计时'!$A$5:$A$264,"resource15-full34-vs-upstream",'原始计时'!$B$5:$B$264,"N04",'原始计时'!$C$5:$C$264,"optimized",'原始计时'!$D$5:$D$264,2)/1000000/(SUMIFS('原始计时'!$E$5:$E$264,'原始计时'!$A$5:$A$264,"resource15-full34-vs-upstream",'原始计时'!$B$5:$B$264,"N04",'原始计时'!$C$5:$C$264,"original",'原始计时'!$D$5:$D$264,2)/SUMIFS('原始计时'!$F$5:$F$264,'原始计时'!$A$5:$A$264,"resource15-full34-vs-upstream",'原始计时'!$B$5:$B$264,"N04",'原始计时'!$C$5:$C$264,"original",'原始计时'!$D$5:$D$264,2)/1000000)-1</x:f>
        <x:v>2.542513386193588</x:v>
      </x:c>
      <x:c r="H8" s="12" t="str">
        <x:f>IF(MIN(F8:G8)&gt;0,"两轮均正","含负轮次")</x:f>
        <x:v>两轮均正</x:v>
      </x:c>
      <x:c r="I8" s="11" t="str">
        <x:v>固定验证区间零命中；见独立正例限制</x:v>
      </x:c>
    </x:row>
    <x:row r="9" ht="42" customHeight="1">
      <x:c r="A9" s="2" t="str">
        <x:v>L01</x:v>
      </x:c>
      <x:c r="B9" s="11" t="str">
        <x:v>直接领取叶药，两个变牌结果中含 WELL_LAID_PLANS</x:v>
      </x:c>
      <x:c r="C9" s="13" t="n">
        <x:f>SUMIFS('原始计时'!$E$5:$E$264,'原始计时'!$A$5:$A$264,"resource15-full34-vs-upstream",'原始计时'!$B$5:$B$264,"L01",'原始计时'!$C$5:$C$264,"original")/SUMIFS('原始计时'!$F$5:$F$264,'原始计时'!$A$5:$A$264,"resource15-full34-vs-upstream",'原始计时'!$B$5:$B$264,"L01",'原始计时'!$C$5:$C$264,"original")/1000000</x:f>
        <x:v>2.136427286417079</x:v>
      </x:c>
      <x:c r="D9" s="13" t="n">
        <x:f>SUMIFS('原始计时'!$E$5:$E$264,'原始计时'!$A$5:$A$264,"resource15-full34-vs-upstream",'原始计时'!$B$5:$B$264,"L01",'原始计时'!$C$5:$C$264,"optimized")/SUMIFS('原始计时'!$F$5:$F$264,'原始计时'!$A$5:$A$264,"resource15-full34-vs-upstream",'原始计时'!$B$5:$B$264,"L01",'原始计时'!$C$5:$C$264,"optimized")/1000000</x:f>
        <x:v>19.601420433854976</x:v>
      </x:c>
      <x:c r="E9" s="14" t="n">
        <x:f>D9/C9-1</x:f>
        <x:v>8.174859616555345</x:v>
      </x:c>
      <x:c r="F9" s="14" t="n">
        <x:f>SUMIFS('原始计时'!$E$5:$E$264,'原始计时'!$A$5:$A$264,"resource15-full34-vs-upstream",'原始计时'!$B$5:$B$264,"L01",'原始计时'!$C$5:$C$264,"optimized",'原始计时'!$D$5:$D$264,1)/SUMIFS('原始计时'!$F$5:$F$264,'原始计时'!$A$5:$A$264,"resource15-full34-vs-upstream",'原始计时'!$B$5:$B$264,"L01",'原始计时'!$C$5:$C$264,"optimized",'原始计时'!$D$5:$D$264,1)/1000000/(SUMIFS('原始计时'!$E$5:$E$264,'原始计时'!$A$5:$A$264,"resource15-full34-vs-upstream",'原始计时'!$B$5:$B$264,"L01",'原始计时'!$C$5:$C$264,"original",'原始计时'!$D$5:$D$264,1)/SUMIFS('原始计时'!$F$5:$F$264,'原始计时'!$A$5:$A$264,"resource15-full34-vs-upstream",'原始计时'!$B$5:$B$264,"L01",'原始计时'!$C$5:$C$264,"original",'原始计时'!$D$5:$D$264,1)/1000000)-1</x:f>
        <x:v>8.565642269980914</x:v>
      </x:c>
      <x:c r="G9" s="14" t="n">
        <x:f>SUMIFS('原始计时'!$E$5:$E$264,'原始计时'!$A$5:$A$264,"resource15-full34-vs-upstream",'原始计时'!$B$5:$B$264,"L01",'原始计时'!$C$5:$C$264,"optimized",'原始计时'!$D$5:$D$264,2)/SUMIFS('原始计时'!$F$5:$F$264,'原始计时'!$A$5:$A$264,"resource15-full34-vs-upstream",'原始计时'!$B$5:$B$264,"L01",'原始计时'!$C$5:$C$264,"optimized",'原始计时'!$D$5:$D$264,2)/1000000/(SUMIFS('原始计时'!$E$5:$E$264,'原始计时'!$A$5:$A$264,"resource15-full34-vs-upstream",'原始计时'!$B$5:$B$264,"L01",'原始计时'!$C$5:$C$264,"original",'原始计时'!$D$5:$D$264,2)/SUMIFS('原始计时'!$F$5:$F$264,'原始计时'!$A$5:$A$264,"resource15-full34-vs-upstream",'原始计时'!$B$5:$B$264,"L01",'原始计时'!$C$5:$C$264,"original",'原始计时'!$D$5:$D$264,2)/1000000)-1</x:f>
        <x:v>7.812804768112134</x:v>
      </x:c>
      <x:c r="H9" s="12" t="str">
        <x:f>IF(MIN(F9:G9)&gt;0,"两轮均正","含负轮次")</x:f>
        <x:v>两轮均正</x:v>
      </x:c>
      <x:c r="I9" s="11" t="str">
        <x:v>有限范围完整结果列表一致</x:v>
      </x:c>
    </x:row>
    <x:row r="10" ht="42" customHeight="1">
      <x:c r="A10" s="2" t="str">
        <x:v>L02</x:v>
      </x:c>
      <x:c r="B10" s="11" t="str">
        <x:v>直接领取叶药，两个变牌结果为 WELL_LAID_PLANS 与 BULLET_TIME</x:v>
      </x:c>
      <x:c r="C10" s="13" t="n">
        <x:f>SUMIFS('原始计时'!$E$5:$E$264,'原始计时'!$A$5:$A$264,"resource15-full34-vs-upstream",'原始计时'!$B$5:$B$264,"L02",'原始计时'!$C$5:$C$264,"original")/SUMIFS('原始计时'!$F$5:$F$264,'原始计时'!$A$5:$A$264,"resource15-full34-vs-upstream",'原始计时'!$B$5:$B$264,"L02",'原始计时'!$C$5:$C$264,"original")/1000000</x:f>
        <x:v>7.88348219711593</x:v>
      </x:c>
      <x:c r="D10" s="13" t="n">
        <x:f>SUMIFS('原始计时'!$E$5:$E$264,'原始计时'!$A$5:$A$264,"resource15-full34-vs-upstream",'原始计时'!$B$5:$B$264,"L02",'原始计时'!$C$5:$C$264,"optimized")/SUMIFS('原始计时'!$F$5:$F$264,'原始计时'!$A$5:$A$264,"resource15-full34-vs-upstream",'原始计时'!$B$5:$B$264,"L02",'原始计时'!$C$5:$C$264,"optimized")/1000000</x:f>
        <x:v>46.93212064647357</x:v>
      </x:c>
      <x:c r="E10" s="14" t="n">
        <x:f>D10/C10-1</x:f>
        <x:v>4.953222126085739</x:v>
      </x:c>
      <x:c r="F10" s="14" t="n">
        <x:f>SUMIFS('原始计时'!$E$5:$E$264,'原始计时'!$A$5:$A$264,"resource15-full34-vs-upstream",'原始计时'!$B$5:$B$264,"L02",'原始计时'!$C$5:$C$264,"optimized",'原始计时'!$D$5:$D$264,1)/SUMIFS('原始计时'!$F$5:$F$264,'原始计时'!$A$5:$A$264,"resource15-full34-vs-upstream",'原始计时'!$B$5:$B$264,"L02",'原始计时'!$C$5:$C$264,"optimized",'原始计时'!$D$5:$D$264,1)/1000000/(SUMIFS('原始计时'!$E$5:$E$264,'原始计时'!$A$5:$A$264,"resource15-full34-vs-upstream",'原始计时'!$B$5:$B$264,"L02",'原始计时'!$C$5:$C$264,"original",'原始计时'!$D$5:$D$264,1)/SUMIFS('原始计时'!$F$5:$F$264,'原始计时'!$A$5:$A$264,"resource15-full34-vs-upstream",'原始计时'!$B$5:$B$264,"L02",'原始计时'!$C$5:$C$264,"original",'原始计时'!$D$5:$D$264,1)/1000000)-1</x:f>
        <x:v>4.770347330352554</x:v>
      </x:c>
      <x:c r="G10" s="14" t="n">
        <x:f>SUMIFS('原始计时'!$E$5:$E$264,'原始计时'!$A$5:$A$264,"resource15-full34-vs-upstream",'原始计时'!$B$5:$B$264,"L02",'原始计时'!$C$5:$C$264,"optimized",'原始计时'!$D$5:$D$264,2)/SUMIFS('原始计时'!$F$5:$F$264,'原始计时'!$A$5:$A$264,"resource15-full34-vs-upstream",'原始计时'!$B$5:$B$264,"L02",'原始计时'!$C$5:$C$264,"optimized",'原始计时'!$D$5:$D$264,2)/1000000/(SUMIFS('原始计时'!$E$5:$E$264,'原始计时'!$A$5:$A$264,"resource15-full34-vs-upstream",'原始计时'!$B$5:$B$264,"L02",'原始计时'!$C$5:$C$264,"original",'原始计时'!$D$5:$D$264,2)/SUMIFS('原始计时'!$F$5:$F$264,'原始计时'!$A$5:$A$264,"resource15-full34-vs-upstream",'原始计时'!$B$5:$B$264,"L02",'原始计时'!$C$5:$C$264,"original",'原始计时'!$D$5:$D$264,2)/1000000)-1</x:f>
        <x:v>5.129069788285883</x:v>
      </x:c>
      <x:c r="H10" s="12" t="str">
        <x:f>IF(MIN(F10:G10)&gt;0,"两轮均正","含负轮次")</x:f>
        <x:v>两轮均正</x:v>
      </x:c>
      <x:c r="I10" s="11" t="str">
        <x:v>固定验证区间零命中；见独立正例限制</x:v>
      </x:c>
    </x:row>
    <x:row r="11" ht="42" customHeight="1">
      <x:c r="A11" s="2" t="str">
        <x:v>U01</x:v>
      </x:c>
      <x:c r="B11" s="11" t="str">
        <x:v>Silent：Bones 万花筒与叶药＋双变牌＋双组供选＋最终 GUILTY</x:v>
      </x:c>
      <x:c r="C11" s="13" t="n">
        <x:f>SUMIFS('原始计时'!$E$5:$E$264,'原始计时'!$A$5:$A$264,"resource15-full34-vs-upstream",'原始计时'!$B$5:$B$264,"U01",'原始计时'!$C$5:$C$264,"original")/SUMIFS('原始计时'!$F$5:$F$264,'原始计时'!$A$5:$A$264,"resource15-full34-vs-upstream",'原始计时'!$B$5:$B$264,"U01",'原始计时'!$C$5:$C$264,"original")/1000000</x:f>
        <x:v>15788.920029846191</x:v>
      </x:c>
      <x:c r="D11" s="13" t="n">
        <x:f>SUMIFS('原始计时'!$E$5:$E$264,'原始计时'!$A$5:$A$264,"resource15-full34-vs-upstream",'原始计时'!$B$5:$B$264,"U01",'原始计时'!$C$5:$C$264,"optimized")/SUMIFS('原始计时'!$F$5:$F$264,'原始计时'!$A$5:$A$264,"resource15-full34-vs-upstream",'原始计时'!$B$5:$B$264,"U01",'原始计时'!$C$5:$C$264,"optimized")/1000000</x:f>
        <x:v>35624.938137945064</x:v>
      </x:c>
      <x:c r="E11" s="14" t="n">
        <x:f>D11/C11-1</x:f>
        <x:v>1.2563251996084817</x:v>
      </x:c>
      <x:c r="F11" s="14" t="n">
        <x:f>SUMIFS('原始计时'!$E$5:$E$264,'原始计时'!$A$5:$A$264,"resource15-full34-vs-upstream",'原始计时'!$B$5:$B$264,"U01",'原始计时'!$C$5:$C$264,"optimized",'原始计时'!$D$5:$D$264,1)/SUMIFS('原始计时'!$F$5:$F$264,'原始计时'!$A$5:$A$264,"resource15-full34-vs-upstream",'原始计时'!$B$5:$B$264,"U01",'原始计时'!$C$5:$C$264,"optimized",'原始计时'!$D$5:$D$264,1)/1000000/(SUMIFS('原始计时'!$E$5:$E$264,'原始计时'!$A$5:$A$264,"resource15-full34-vs-upstream",'原始计时'!$B$5:$B$264,"U01",'原始计时'!$C$5:$C$264,"original",'原始计时'!$D$5:$D$264,1)/SUMIFS('原始计时'!$F$5:$F$264,'原始计时'!$A$5:$A$264,"resource15-full34-vs-upstream",'原始计时'!$B$5:$B$264,"U01",'原始计时'!$C$5:$C$264,"original",'原始计时'!$D$5:$D$264,1)/1000000)-1</x:f>
        <x:v>1.2312145033691855</x:v>
      </x:c>
      <x:c r="G11" s="14" t="n">
        <x:f>SUMIFS('原始计时'!$E$5:$E$264,'原始计时'!$A$5:$A$264,"resource15-full34-vs-upstream",'原始计时'!$B$5:$B$264,"U01",'原始计时'!$C$5:$C$264,"optimized",'原始计时'!$D$5:$D$264,2)/SUMIFS('原始计时'!$F$5:$F$264,'原始计时'!$A$5:$A$264,"resource15-full34-vs-upstream",'原始计时'!$B$5:$B$264,"U01",'原始计时'!$C$5:$C$264,"optimized",'原始计时'!$D$5:$D$264,2)/1000000/(SUMIFS('原始计时'!$E$5:$E$264,'原始计时'!$A$5:$A$264,"resource15-full34-vs-upstream",'原始计时'!$B$5:$B$264,"U01",'原始计时'!$C$5:$C$264,"original",'原始计时'!$D$5:$D$264,2)/SUMIFS('原始计时'!$F$5:$F$264,'原始计时'!$A$5:$A$264,"resource15-full34-vs-upstream",'原始计时'!$B$5:$B$264,"U01",'原始计时'!$C$5:$C$264,"original",'原始计时'!$D$5:$D$264,2)/1000000)-1</x:f>
        <x:v>1.2824083561924313</x:v>
      </x:c>
      <x:c r="H11" s="12" t="str">
        <x:f>IF(MIN(F11:G11)&gt;0,"两轮均正","含负轮次")</x:f>
        <x:v>两轮均正</x:v>
      </x:c>
      <x:c r="I11" s="11" t="str">
        <x:v>固定验证区间零命中；见独立正例限制</x:v>
      </x:c>
    </x:row>
    <x:row r="12" ht="42" customHeight="1">
      <x:c r="A12" s="2" t="str">
        <x:v>U02</x:v>
      </x:c>
      <x:c r="B12" s="11" t="str">
        <x:v>Silent：Bones 万花筒与叶药完整开局＋初始稀有序列 THE_COURIER</x:v>
      </x:c>
      <x:c r="C12" s="13" t="n">
        <x:f>SUMIFS('原始计时'!$E$5:$E$264,'原始计时'!$A$5:$A$264,"resource15-full34-vs-upstream",'原始计时'!$B$5:$B$264,"U02",'原始计时'!$C$5:$C$264,"original")/SUMIFS('原始计时'!$F$5:$F$264,'原始计时'!$A$5:$A$264,"resource15-full34-vs-upstream",'原始计时'!$B$5:$B$264,"U02",'原始计时'!$C$5:$C$264,"original")/1000000</x:f>
        <x:v>15579.574132659454</x:v>
      </x:c>
      <x:c r="D12" s="13" t="n">
        <x:f>SUMIFS('原始计时'!$E$5:$E$264,'原始计时'!$A$5:$A$264,"resource15-full34-vs-upstream",'原始计时'!$B$5:$B$264,"U02",'原始计时'!$C$5:$C$264,"optimized")/SUMIFS('原始计时'!$F$5:$F$264,'原始计时'!$A$5:$A$264,"resource15-full34-vs-upstream",'原始计时'!$B$5:$B$264,"U02",'原始计时'!$C$5:$C$264,"optimized")/1000000</x:f>
        <x:v>29611.625264272956</x:v>
      </x:c>
      <x:c r="E12" s="14" t="n">
        <x:f>D12/C12-1</x:f>
        <x:v>0.9006697495150473</x:v>
      </x:c>
      <x:c r="F12" s="14" t="n">
        <x:f>SUMIFS('原始计时'!$E$5:$E$264,'原始计时'!$A$5:$A$264,"resource15-full34-vs-upstream",'原始计时'!$B$5:$B$264,"U02",'原始计时'!$C$5:$C$264,"optimized",'原始计时'!$D$5:$D$264,1)/SUMIFS('原始计时'!$F$5:$F$264,'原始计时'!$A$5:$A$264,"resource15-full34-vs-upstream",'原始计时'!$B$5:$B$264,"U02",'原始计时'!$C$5:$C$264,"optimized",'原始计时'!$D$5:$D$264,1)/1000000/(SUMIFS('原始计时'!$E$5:$E$264,'原始计时'!$A$5:$A$264,"resource15-full34-vs-upstream",'原始计时'!$B$5:$B$264,"U02",'原始计时'!$C$5:$C$264,"original",'原始计时'!$D$5:$D$264,1)/SUMIFS('原始计时'!$F$5:$F$264,'原始计时'!$A$5:$A$264,"resource15-full34-vs-upstream",'原始计时'!$B$5:$B$264,"U02",'原始计时'!$C$5:$C$264,"original",'原始计时'!$D$5:$D$264,1)/1000000)-1</x:f>
        <x:v>0.838067612374547</x:v>
      </x:c>
      <x:c r="G12" s="14" t="n">
        <x:f>SUMIFS('原始计时'!$E$5:$E$264,'原始计时'!$A$5:$A$264,"resource15-full34-vs-upstream",'原始计时'!$B$5:$B$264,"U02",'原始计时'!$C$5:$C$264,"optimized",'原始计时'!$D$5:$D$264,2)/SUMIFS('原始计时'!$F$5:$F$264,'原始计时'!$A$5:$A$264,"resource15-full34-vs-upstream",'原始计时'!$B$5:$B$264,"U02",'原始计时'!$C$5:$C$264,"optimized",'原始计时'!$D$5:$D$264,2)/1000000/(SUMIFS('原始计时'!$E$5:$E$264,'原始计时'!$A$5:$A$264,"resource15-full34-vs-upstream",'原始计时'!$B$5:$B$264,"U02",'原始计时'!$C$5:$C$264,"original",'原始计时'!$D$5:$D$264,2)/SUMIFS('原始计时'!$F$5:$F$264,'原始计时'!$A$5:$A$264,"resource15-full34-vs-upstream",'原始计时'!$B$5:$B$264,"U02",'原始计时'!$C$5:$C$264,"original",'原始计时'!$D$5:$D$264,2)/1000000)-1</x:f>
        <x:v>0.9665005813153327</x:v>
      </x:c>
      <x:c r="H12" s="12" t="str">
        <x:f>IF(MIN(F12:G12)&gt;0,"两轮均正","含负轮次")</x:f>
        <x:v>两轮均正</x:v>
      </x:c>
      <x:c r="I12" s="11" t="str">
        <x:v>固定验证区间零命中；见独立正例限制</x:v>
      </x:c>
    </x:row>
    <x:row r="13" ht="42" customHeight="1">
      <x:c r="A13" s="2" t="str">
        <x:v>U03</x:v>
      </x:c>
      <x:c r="B13" s="11" t="str">
        <x:v>Ironclad：Bones 万花筒与小胶囊完整开局＋初始稀有序列 THE_COURIER＋首战供选 HAVOC</x:v>
      </x:c>
      <x:c r="C13" s="13" t="n">
        <x:f>SUMIFS('原始计时'!$E$5:$E$264,'原始计时'!$A$5:$A$264,"resource15-full34-vs-upstream",'原始计时'!$B$5:$B$264,"U03",'原始计时'!$C$5:$C$264,"original")/SUMIFS('原始计时'!$F$5:$F$264,'原始计时'!$A$5:$A$264,"resource15-full34-vs-upstream",'原始计时'!$B$5:$B$264,"U03",'原始计时'!$C$5:$C$264,"original")/1000000</x:f>
        <x:v>13182.878739119928</x:v>
      </x:c>
      <x:c r="D13" s="13" t="n">
        <x:f>SUMIFS('原始计时'!$E$5:$E$264,'原始计时'!$A$5:$A$264,"resource15-full34-vs-upstream",'原始计时'!$B$5:$B$264,"U03",'原始计时'!$C$5:$C$264,"optimized")/SUMIFS('原始计时'!$F$5:$F$264,'原始计时'!$A$5:$A$264,"resource15-full34-vs-upstream",'原始计时'!$B$5:$B$264,"U03",'原始计时'!$C$5:$C$264,"optimized")/1000000</x:f>
        <x:v>23182.121778476103</x:v>
      </x:c>
      <x:c r="E13" s="14" t="n">
        <x:f>D13/C13-1</x:f>
        <x:v>0.7585022389444895</x:v>
      </x:c>
      <x:c r="F13" s="14" t="n">
        <x:f>SUMIFS('原始计时'!$E$5:$E$264,'原始计时'!$A$5:$A$264,"resource15-full34-vs-upstream",'原始计时'!$B$5:$B$264,"U03",'原始计时'!$C$5:$C$264,"optimized",'原始计时'!$D$5:$D$264,1)/SUMIFS('原始计时'!$F$5:$F$264,'原始计时'!$A$5:$A$264,"resource15-full34-vs-upstream",'原始计时'!$B$5:$B$264,"U03",'原始计时'!$C$5:$C$264,"optimized",'原始计时'!$D$5:$D$264,1)/1000000/(SUMIFS('原始计时'!$E$5:$E$264,'原始计时'!$A$5:$A$264,"resource15-full34-vs-upstream",'原始计时'!$B$5:$B$264,"U03",'原始计时'!$C$5:$C$264,"original",'原始计时'!$D$5:$D$264,1)/SUMIFS('原始计时'!$F$5:$F$264,'原始计时'!$A$5:$A$264,"resource15-full34-vs-upstream",'原始计时'!$B$5:$B$264,"U03",'原始计时'!$C$5:$C$264,"original",'原始计时'!$D$5:$D$264,1)/1000000)-1</x:f>
        <x:v>0.7500792361000879</x:v>
      </x:c>
      <x:c r="G13" s="14" t="n">
        <x:f>SUMIFS('原始计时'!$E$5:$E$264,'原始计时'!$A$5:$A$264,"resource15-full34-vs-upstream",'原始计时'!$B$5:$B$264,"U03",'原始计时'!$C$5:$C$264,"optimized",'原始计时'!$D$5:$D$264,2)/SUMIFS('原始计时'!$F$5:$F$264,'原始计时'!$A$5:$A$264,"resource15-full34-vs-upstream",'原始计时'!$B$5:$B$264,"U03",'原始计时'!$C$5:$C$264,"optimized",'原始计时'!$D$5:$D$264,2)/1000000/(SUMIFS('原始计时'!$E$5:$E$264,'原始计时'!$A$5:$A$264,"resource15-full34-vs-upstream",'原始计时'!$B$5:$B$264,"U03",'原始计时'!$C$5:$C$264,"original",'原始计时'!$D$5:$D$264,2)/SUMIFS('原始计时'!$F$5:$F$264,'原始计时'!$A$5:$A$264,"resource15-full34-vs-upstream",'原始计时'!$B$5:$B$264,"U03",'原始计时'!$C$5:$C$264,"original",'原始计时'!$D$5:$D$264,2)/1000000)-1</x:f>
        <x:v>0.7671156256973808</x:v>
      </x:c>
      <x:c r="H13" s="12" t="str">
        <x:f>IF(MIN(F13:G13)&gt;0,"两轮均正","含负轮次")</x:f>
        <x:v>两轮均正</x:v>
      </x:c>
      <x:c r="I13" s="11" t="str">
        <x:v>固定验证区间零命中；见独立正例限制</x:v>
      </x:c>
    </x:row>
    <x:row r="14" ht="42" customHeight="1">
      <x:c r="A14" s="2" t="str">
        <x:v>X03</x:v>
      </x:c>
      <x:c r="B14" s="11" t="str">
        <x:v>Ironclad：Bones 万花筒与小胶囊的指定开局结果</x:v>
      </x:c>
      <x:c r="C14" s="13" t="n">
        <x:f>SUMIFS('原始计时'!$E$5:$E$264,'原始计时'!$A$5:$A$264,"resource15-full34-vs-upstream",'原始计时'!$B$5:$B$264,"X03",'原始计时'!$C$5:$C$264,"original")/SUMIFS('原始计时'!$F$5:$F$264,'原始计时'!$A$5:$A$264,"resource15-full34-vs-upstream",'原始计时'!$B$5:$B$264,"X03",'原始计时'!$C$5:$C$264,"original")/1000000</x:f>
        <x:v>13368.141664383427</x:v>
      </x:c>
      <x:c r="D14" s="13" t="n">
        <x:f>SUMIFS('原始计时'!$E$5:$E$264,'原始计时'!$A$5:$A$264,"resource15-full34-vs-upstream",'原始计时'!$B$5:$B$264,"X03",'原始计时'!$C$5:$C$264,"optimized")/SUMIFS('原始计时'!$F$5:$F$264,'原始计时'!$A$5:$A$264,"resource15-full34-vs-upstream",'原始计时'!$B$5:$B$264,"X03",'原始计时'!$C$5:$C$264,"optimized")/1000000</x:f>
        <x:v>22843.914105000615</x:v>
      </x:c>
      <x:c r="E14" s="14" t="n">
        <x:f>D14/C14-1</x:f>
        <x:v>0.7088324374855608</x:v>
      </x:c>
      <x:c r="F14" s="14" t="n">
        <x:f>SUMIFS('原始计时'!$E$5:$E$264,'原始计时'!$A$5:$A$264,"resource15-full34-vs-upstream",'原始计时'!$B$5:$B$264,"X03",'原始计时'!$C$5:$C$264,"optimized",'原始计时'!$D$5:$D$264,1)/SUMIFS('原始计时'!$F$5:$F$264,'原始计时'!$A$5:$A$264,"resource15-full34-vs-upstream",'原始计时'!$B$5:$B$264,"X03",'原始计时'!$C$5:$C$264,"optimized",'原始计时'!$D$5:$D$264,1)/1000000/(SUMIFS('原始计时'!$E$5:$E$264,'原始计时'!$A$5:$A$264,"resource15-full34-vs-upstream",'原始计时'!$B$5:$B$264,"X03",'原始计时'!$C$5:$C$264,"original",'原始计时'!$D$5:$D$264,1)/SUMIFS('原始计时'!$F$5:$F$264,'原始计时'!$A$5:$A$264,"resource15-full34-vs-upstream",'原始计时'!$B$5:$B$264,"X03",'原始计时'!$C$5:$C$264,"original",'原始计时'!$D$5:$D$264,1)/1000000)-1</x:f>
        <x:v>0.770359572889997</x:v>
      </x:c>
      <x:c r="G14" s="14" t="n">
        <x:f>SUMIFS('原始计时'!$E$5:$E$264,'原始计时'!$A$5:$A$264,"resource15-full34-vs-upstream",'原始计时'!$B$5:$B$264,"X03",'原始计时'!$C$5:$C$264,"optimized",'原始计时'!$D$5:$D$264,2)/SUMIFS('原始计时'!$F$5:$F$264,'原始计时'!$A$5:$A$264,"resource15-full34-vs-upstream",'原始计时'!$B$5:$B$264,"X03",'原始计时'!$C$5:$C$264,"optimized",'原始计时'!$D$5:$D$264,2)/1000000/(SUMIFS('原始计时'!$E$5:$E$264,'原始计时'!$A$5:$A$264,"resource15-full34-vs-upstream",'原始计时'!$B$5:$B$264,"X03",'原始计时'!$C$5:$C$264,"original",'原始计时'!$D$5:$D$264,2)/SUMIFS('原始计时'!$F$5:$F$264,'原始计时'!$A$5:$A$264,"resource15-full34-vs-upstream",'原始计时'!$B$5:$B$264,"X03",'原始计时'!$C$5:$C$264,"original",'原始计时'!$D$5:$D$264,2)/1000000)-1</x:f>
        <x:v>0.6487936640970786</x:v>
      </x:c>
      <x:c r="H14" s="12" t="str">
        <x:f>IF(MIN(F14:G14)&gt;0,"两轮均正","含负轮次")</x:f>
        <x:v>两轮均正</x:v>
      </x:c>
      <x:c r="I14" s="11" t="str">
        <x:v>固定验证区间零命中；见独立正例限制</x:v>
      </x:c>
    </x:row>
    <x:row r="15" ht="42" customHeight="1">
      <x:c r="A15" s="2" t="str">
        <x:v>F01</x:v>
      </x:c>
      <x:c r="B15" s="11" t="str">
        <x:v>初始个人稀有遗物序列首项 THE_COURIER</x:v>
      </x:c>
      <x:c r="C15" s="13" t="n">
        <x:f>SUMIFS('原始计时'!$E$5:$E$264,'原始计时'!$A$5:$A$264,"resource15-full34-vs-upstream",'原始计时'!$B$5:$B$264,"F01",'原始计时'!$C$5:$C$264,"original")/SUMIFS('原始计时'!$F$5:$F$264,'原始计时'!$A$5:$A$264,"resource15-full34-vs-upstream",'原始计时'!$B$5:$B$264,"F01",'原始计时'!$C$5:$C$264,"original")/1000000</x:f>
        <x:v>0.8619429439253136</x:v>
      </x:c>
      <x:c r="D15" s="13" t="n">
        <x:f>SUMIFS('原始计时'!$E$5:$E$264,'原始计时'!$A$5:$A$264,"resource15-full34-vs-upstream",'原始计时'!$B$5:$B$264,"F01",'原始计时'!$C$5:$C$264,"optimized")/SUMIFS('原始计时'!$F$5:$F$264,'原始计时'!$A$5:$A$264,"resource15-full34-vs-upstream",'原始计时'!$B$5:$B$264,"F01",'原始计时'!$C$5:$C$264,"optimized")/1000000</x:f>
        <x:v>0.9719918351693488</x:v>
      </x:c>
      <x:c r="E15" s="14" t="n">
        <x:f>D15/C15-1</x:f>
        <x:v>0.12767537807417906</x:v>
      </x:c>
      <x:c r="F15" s="14" t="n">
        <x:f>SUMIFS('原始计时'!$E$5:$E$264,'原始计时'!$A$5:$A$264,"resource15-full34-vs-upstream",'原始计时'!$B$5:$B$264,"F01",'原始计时'!$C$5:$C$264,"optimized",'原始计时'!$D$5:$D$264,1)/SUMIFS('原始计时'!$F$5:$F$264,'原始计时'!$A$5:$A$264,"resource15-full34-vs-upstream",'原始计时'!$B$5:$B$264,"F01",'原始计时'!$C$5:$C$264,"optimized",'原始计时'!$D$5:$D$264,1)/1000000/(SUMIFS('原始计时'!$E$5:$E$264,'原始计时'!$A$5:$A$264,"resource15-full34-vs-upstream",'原始计时'!$B$5:$B$264,"F01",'原始计时'!$C$5:$C$264,"original",'原始计时'!$D$5:$D$264,1)/SUMIFS('原始计时'!$F$5:$F$264,'原始计时'!$A$5:$A$264,"resource15-full34-vs-upstream",'原始计时'!$B$5:$B$264,"F01",'原始计时'!$C$5:$C$264,"original",'原始计时'!$D$5:$D$264,1)/1000000)-1</x:f>
        <x:v>0.2042482971219397</x:v>
      </x:c>
      <x:c r="G15" s="14" t="n">
        <x:f>SUMIFS('原始计时'!$E$5:$E$264,'原始计时'!$A$5:$A$264,"resource15-full34-vs-upstream",'原始计时'!$B$5:$B$264,"F01",'原始计时'!$C$5:$C$264,"optimized",'原始计时'!$D$5:$D$264,2)/SUMIFS('原始计时'!$F$5:$F$264,'原始计时'!$A$5:$A$264,"resource15-full34-vs-upstream",'原始计时'!$B$5:$B$264,"F01",'原始计时'!$C$5:$C$264,"optimized",'原始计时'!$D$5:$D$264,2)/1000000/(SUMIFS('原始计时'!$E$5:$E$264,'原始计时'!$A$5:$A$264,"resource15-full34-vs-upstream",'原始计时'!$B$5:$B$264,"F01",'原始计时'!$C$5:$C$264,"original",'原始计时'!$D$5:$D$264,2)/SUMIFS('原始计时'!$F$5:$F$264,'原始计时'!$A$5:$A$264,"resource15-full34-vs-upstream",'原始计时'!$B$5:$B$264,"F01",'原始计时'!$C$5:$C$264,"original",'原始计时'!$D$5:$D$264,2)/1000000)-1</x:f>
        <x:v>0.05727523082319852</x:v>
      </x:c>
      <x:c r="H15" s="12" t="str">
        <x:f>IF(MIN(F15:G15)&gt;0,"两轮均正","含负轮次")</x:f>
        <x:v>两轮均正</x:v>
      </x:c>
      <x:c r="I15" s="11" t="str">
        <x:v>有限范围完整结果列表一致</x:v>
      </x:c>
    </x:row>
    <x:row r="16" ht="42" customHeight="1">
      <x:c r="A16" s="2" t="str">
        <x:v>F02</x:v>
      </x:c>
      <x:c r="B16" s="11" t="str">
        <x:v>前三次普通战斗观测：首战牌奖励供选含 HAVOC</x:v>
      </x:c>
      <x:c r="C16" s="13" t="n">
        <x:f>SUMIFS('原始计时'!$E$5:$E$264,'原始计时'!$A$5:$A$264,"resource15-full34-vs-upstream",'原始计时'!$B$5:$B$264,"F02",'原始计时'!$C$5:$C$264,"original")/SUMIFS('原始计时'!$F$5:$F$264,'原始计时'!$A$5:$A$264,"resource15-full34-vs-upstream",'原始计时'!$B$5:$B$264,"F02",'原始计时'!$C$5:$C$264,"original")/1000000</x:f>
        <x:v>0.21194770623728337</x:v>
      </x:c>
      <x:c r="D16" s="13" t="n">
        <x:f>SUMIFS('原始计时'!$E$5:$E$264,'原始计时'!$A$5:$A$264,"resource15-full34-vs-upstream",'原始计时'!$B$5:$B$264,"F02",'原始计时'!$C$5:$C$264,"optimized")/SUMIFS('原始计时'!$F$5:$F$264,'原始计时'!$A$5:$A$264,"resource15-full34-vs-upstream",'原始计时'!$B$5:$B$264,"F02",'原始计时'!$C$5:$C$264,"optimized")/1000000</x:f>
        <x:v>0.2302055430164694</x:v>
      </x:c>
      <x:c r="E16" s="14" t="n">
        <x:f>D16/C16-1</x:f>
        <x:v>0.08614312041077565</x:v>
      </x:c>
      <x:c r="F16" s="14" t="n">
        <x:f>SUMIFS('原始计时'!$E$5:$E$264,'原始计时'!$A$5:$A$264,"resource15-full34-vs-upstream",'原始计时'!$B$5:$B$264,"F02",'原始计时'!$C$5:$C$264,"optimized",'原始计时'!$D$5:$D$264,1)/SUMIFS('原始计时'!$F$5:$F$264,'原始计时'!$A$5:$A$264,"resource15-full34-vs-upstream",'原始计时'!$B$5:$B$264,"F02",'原始计时'!$C$5:$C$264,"optimized",'原始计时'!$D$5:$D$264,1)/1000000/(SUMIFS('原始计时'!$E$5:$E$264,'原始计时'!$A$5:$A$264,"resource15-full34-vs-upstream",'原始计时'!$B$5:$B$264,"F02",'原始计时'!$C$5:$C$264,"original",'原始计时'!$D$5:$D$264,1)/SUMIFS('原始计时'!$F$5:$F$264,'原始计时'!$A$5:$A$264,"resource15-full34-vs-upstream",'原始计时'!$B$5:$B$264,"F02",'原始计时'!$C$5:$C$264,"original",'原始计时'!$D$5:$D$264,1)/1000000)-1</x:f>
        <x:v>0.25713730857796135</x:v>
      </x:c>
      <x:c r="G16" s="14" t="n">
        <x:f>SUMIFS('原始计时'!$E$5:$E$264,'原始计时'!$A$5:$A$264,"resource15-full34-vs-upstream",'原始计时'!$B$5:$B$264,"F02",'原始计时'!$C$5:$C$264,"optimized",'原始计时'!$D$5:$D$264,2)/SUMIFS('原始计时'!$F$5:$F$264,'原始计时'!$A$5:$A$264,"resource15-full34-vs-upstream",'原始计时'!$B$5:$B$264,"F02",'原始计时'!$C$5:$C$264,"optimized",'原始计时'!$D$5:$D$264,2)/1000000/(SUMIFS('原始计时'!$E$5:$E$264,'原始计时'!$A$5:$A$264,"resource15-full34-vs-upstream",'原始计时'!$B$5:$B$264,"F02",'原始计时'!$C$5:$C$264,"original",'原始计时'!$D$5:$D$264,2)/SUMIFS('原始计时'!$F$5:$F$264,'原始计时'!$A$5:$A$264,"resource15-full34-vs-upstream",'原始计时'!$B$5:$B$264,"F02",'原始计时'!$C$5:$C$264,"original",'原始计时'!$D$5:$D$264,2)/1000000)-1</x:f>
        <x:v>-0.055640621936598245</x:v>
      </x:c>
      <x:c r="H16" s="12" t="str">
        <x:f>IF(MIN(F16:G16)&gt;0,"两轮均正","含负轮次")</x:f>
        <x:v>含负轮次</x:v>
      </x:c>
      <x:c r="I16" s="11" t="str">
        <x:v>后续复测出现负项或方向翻转</x:v>
      </x:c>
    </x:row>
    <x:row r="17" ht="45" customHeight="1">
      <x:c r="A17" s="2" t="str">
        <x:v>F03</x:v>
      </x:c>
      <x:c r="B17" s="11" t="str">
        <x:v>条件事件结果：Trash Heap Dive 为 THE_BOOT＋Fake Merchant 库存含 FAKE_SNECKO_EYE</x:v>
      </x:c>
      <x:c r="C17" s="13" t="n">
        <x:f>SUMIFS('原始计时'!$E$5:$E$264,'原始计时'!$A$5:$A$264,"resource15-full34-vs-upstream",'原始计时'!$B$5:$B$264,"F03",'原始计时'!$C$5:$C$264,"original")/SUMIFS('原始计时'!$F$5:$F$264,'原始计时'!$A$5:$A$264,"resource15-full34-vs-upstream",'原始计时'!$B$5:$B$264,"F03",'原始计时'!$C$5:$C$264,"original")/1000000</x:f>
        <x:v>1.4705307041360727</x:v>
      </x:c>
      <x:c r="D17" s="13" t="n">
        <x:f>SUMIFS('原始计时'!$E$5:$E$264,'原始计时'!$A$5:$A$264,"resource15-full34-vs-upstream",'原始计时'!$B$5:$B$264,"F03",'原始计时'!$C$5:$C$264,"optimized")/SUMIFS('原始计时'!$F$5:$F$264,'原始计时'!$A$5:$A$264,"resource15-full34-vs-upstream",'原始计时'!$B$5:$B$264,"F03",'原始计时'!$C$5:$C$264,"optimized")/1000000</x:f>
        <x:v>1.9566841745918007</x:v>
      </x:c>
      <x:c r="E17" s="14" t="n">
        <x:f>D17/C17-1</x:f>
        <x:v>0.33059729326858234</x:v>
      </x:c>
      <x:c r="F17" s="14" t="n">
        <x:f>SUMIFS('原始计时'!$E$5:$E$264,'原始计时'!$A$5:$A$264,"resource15-full34-vs-upstream",'原始计时'!$B$5:$B$264,"F03",'原始计时'!$C$5:$C$264,"optimized",'原始计时'!$D$5:$D$264,1)/SUMIFS('原始计时'!$F$5:$F$264,'原始计时'!$A$5:$A$264,"resource15-full34-vs-upstream",'原始计时'!$B$5:$B$264,"F03",'原始计时'!$C$5:$C$264,"optimized",'原始计时'!$D$5:$D$264,1)/1000000/(SUMIFS('原始计时'!$E$5:$E$264,'原始计时'!$A$5:$A$264,"resource15-full34-vs-upstream",'原始计时'!$B$5:$B$264,"F03",'原始计时'!$C$5:$C$264,"original",'原始计时'!$D$5:$D$264,1)/SUMIFS('原始计时'!$F$5:$F$264,'原始计时'!$A$5:$A$264,"resource15-full34-vs-upstream",'原始计时'!$B$5:$B$264,"F03",'原始计时'!$C$5:$C$264,"original",'原始计时'!$D$5:$D$264,1)/1000000)-1</x:f>
        <x:v>0.9458292810127196</x:v>
      </x:c>
      <x:c r="G17" s="14" t="n">
        <x:f>SUMIFS('原始计时'!$E$5:$E$264,'原始计时'!$A$5:$A$264,"resource15-full34-vs-upstream",'原始计时'!$B$5:$B$264,"F03",'原始计时'!$C$5:$C$264,"optimized",'原始计时'!$D$5:$D$264,2)/SUMIFS('原始计时'!$F$5:$F$264,'原始计时'!$A$5:$A$264,"resource15-full34-vs-upstream",'原始计时'!$B$5:$B$264,"F03",'原始计时'!$C$5:$C$264,"optimized",'原始计时'!$D$5:$D$264,2)/1000000/(SUMIFS('原始计时'!$E$5:$E$264,'原始计时'!$A$5:$A$264,"resource15-full34-vs-upstream",'原始计时'!$B$5:$B$264,"F03",'原始计时'!$C$5:$C$264,"original",'原始计时'!$D$5:$D$264,2)/SUMIFS('原始计时'!$F$5:$F$264,'原始计时'!$A$5:$A$264,"resource15-full34-vs-upstream",'原始计时'!$B$5:$B$264,"F03",'原始计时'!$C$5:$C$264,"original",'原始计时'!$D$5:$D$264,2)/1000000)-1</x:f>
        <x:v>0.01285071235334967</x:v>
      </x:c>
      <x:c r="H17" s="12" t="str">
        <x:f>IF(MIN(F17:G17)&gt;0,"两轮均正","含负轮次")</x:f>
        <x:v>两轮均正</x:v>
      </x:c>
      <x:c r="I17" s="11" t="str">
        <x:v>后续复测出现负项或方向翻转</x:v>
      </x:c>
    </x:row>
    <x:row r="18" ht="42" customHeight="1">
      <x:c r="A18" s="2" t="str">
        <x:v>F04</x:v>
      </x:c>
      <x:c r="B18" s="11" t="str">
        <x:v>世界：第一幕 OVERGROWTH/VANTOM＋第二幕 HIVE/KAISER_CRAB</x:v>
      </x:c>
      <x:c r="C18" s="13" t="n">
        <x:f>SUMIFS('原始计时'!$E$5:$E$264,'原始计时'!$A$5:$A$264,"resource15-full34-vs-upstream",'原始计时'!$B$5:$B$264,"F04",'原始计时'!$C$5:$C$264,"original")/SUMIFS('原始计时'!$F$5:$F$264,'原始计时'!$A$5:$A$264,"resource15-full34-vs-upstream",'原始计时'!$B$5:$B$264,"F04",'原始计时'!$C$5:$C$264,"original")/1000000</x:f>
        <x:v>0.2109152490878206</x:v>
      </x:c>
      <x:c r="D18" s="13" t="n">
        <x:f>SUMIFS('原始计时'!$E$5:$E$264,'原始计时'!$A$5:$A$264,"resource15-full34-vs-upstream",'原始计时'!$B$5:$B$264,"F04",'原始计时'!$C$5:$C$264,"optimized")/SUMIFS('原始计时'!$F$5:$F$264,'原始计时'!$A$5:$A$264,"resource15-full34-vs-upstream",'原始计时'!$B$5:$B$264,"F04",'原始计时'!$C$5:$C$264,"optimized")/1000000</x:f>
        <x:v>1.5673894437755944</x:v>
      </x:c>
      <x:c r="E18" s="14" t="n">
        <x:f>D18/C18-1</x:f>
        <x:v>6.431370896861833</x:v>
      </x:c>
      <x:c r="F18" s="14" t="n">
        <x:f>SUMIFS('原始计时'!$E$5:$E$264,'原始计时'!$A$5:$A$264,"resource15-full34-vs-upstream",'原始计时'!$B$5:$B$264,"F04",'原始计时'!$C$5:$C$264,"optimized",'原始计时'!$D$5:$D$264,1)/SUMIFS('原始计时'!$F$5:$F$264,'原始计时'!$A$5:$A$264,"resource15-full34-vs-upstream",'原始计时'!$B$5:$B$264,"F04",'原始计时'!$C$5:$C$264,"optimized",'原始计时'!$D$5:$D$264,1)/1000000/(SUMIFS('原始计时'!$E$5:$E$264,'原始计时'!$A$5:$A$264,"resource15-full34-vs-upstream",'原始计时'!$B$5:$B$264,"F04",'原始计时'!$C$5:$C$264,"original",'原始计时'!$D$5:$D$264,1)/SUMIFS('原始计时'!$F$5:$F$264,'原始计时'!$A$5:$A$264,"resource15-full34-vs-upstream",'原始计时'!$B$5:$B$264,"F04",'原始计时'!$C$5:$C$264,"original",'原始计时'!$D$5:$D$264,1)/1000000)-1</x:f>
        <x:v>7.766831984119463</x:v>
      </x:c>
      <x:c r="G18" s="14" t="n">
        <x:f>SUMIFS('原始计时'!$E$5:$E$264,'原始计时'!$A$5:$A$264,"resource15-full34-vs-upstream",'原始计时'!$B$5:$B$264,"F04",'原始计时'!$C$5:$C$264,"optimized",'原始计时'!$D$5:$D$264,2)/SUMIFS('原始计时'!$F$5:$F$264,'原始计时'!$A$5:$A$264,"resource15-full34-vs-upstream",'原始计时'!$B$5:$B$264,"F04",'原始计时'!$C$5:$C$264,"optimized",'原始计时'!$D$5:$D$264,2)/1000000/(SUMIFS('原始计时'!$E$5:$E$264,'原始计时'!$A$5:$A$264,"resource15-full34-vs-upstream",'原始计时'!$B$5:$B$264,"F04",'原始计时'!$C$5:$C$264,"original",'原始计时'!$D$5:$D$264,2)/SUMIFS('原始计时'!$F$5:$F$264,'原始计时'!$A$5:$A$264,"resource15-full34-vs-upstream",'原始计时'!$B$5:$B$264,"F04",'原始计时'!$C$5:$C$264,"original",'原始计时'!$D$5:$D$264,2)/1000000)-1</x:f>
        <x:v>5.419537739962147</x:v>
      </x:c>
      <x:c r="H18" s="12" t="str">
        <x:f>IF(MIN(F18:G18)&gt;0,"两轮均正","含负轮次")</x:f>
        <x:v>两轮均正</x:v>
      </x:c>
      <x:c r="I18" s="11" t="str">
        <x:v>有限范围完整结果列表一致</x:v>
      </x:c>
    </x:row>
    <x:row r="19" ht="42" customHeight="1">
      <x:c r="A19" s="2" t="str">
        <x:v>F05</x:v>
      </x:c>
      <x:c r="B19" s="11" t="str">
        <x:v>前两次标准商店 Rare 无色槽依次 HAND_OF_GREED / MASTER_OF_STRATEGY</x:v>
      </x:c>
      <x:c r="C19" s="13" t="n">
        <x:f>SUMIFS('原始计时'!$E$5:$E$264,'原始计时'!$A$5:$A$264,"resource15-full34-vs-upstream",'原始计时'!$B$5:$B$264,"F05",'原始计时'!$C$5:$C$264,"original")/SUMIFS('原始计时'!$F$5:$F$264,'原始计时'!$A$5:$A$264,"resource15-full34-vs-upstream",'原始计时'!$B$5:$B$264,"F05",'原始计时'!$C$5:$C$264,"original")/1000000</x:f>
        <x:v>3.66470590961471</x:v>
      </x:c>
      <x:c r="D19" s="13" t="n">
        <x:f>SUMIFS('原始计时'!$E$5:$E$264,'原始计时'!$A$5:$A$264,"resource15-full34-vs-upstream",'原始计时'!$B$5:$B$264,"F05",'原始计时'!$C$5:$C$264,"optimized")/SUMIFS('原始计时'!$F$5:$F$264,'原始计时'!$A$5:$A$264,"resource15-full34-vs-upstream",'原始计时'!$B$5:$B$264,"F05",'原始计时'!$C$5:$C$264,"optimized")/1000000</x:f>
        <x:v>24.184809054800642</x:v>
      </x:c>
      <x:c r="E19" s="14" t="n">
        <x:f>D19/C19-1</x:f>
        <x:v>5.599386049327849</x:v>
      </x:c>
      <x:c r="F19" s="14" t="n">
        <x:f>SUMIFS('原始计时'!$E$5:$E$264,'原始计时'!$A$5:$A$264,"resource15-full34-vs-upstream",'原始计时'!$B$5:$B$264,"F05",'原始计时'!$C$5:$C$264,"optimized",'原始计时'!$D$5:$D$264,1)/SUMIFS('原始计时'!$F$5:$F$264,'原始计时'!$A$5:$A$264,"resource15-full34-vs-upstream",'原始计时'!$B$5:$B$264,"F05",'原始计时'!$C$5:$C$264,"optimized",'原始计时'!$D$5:$D$264,1)/1000000/(SUMIFS('原始计时'!$E$5:$E$264,'原始计时'!$A$5:$A$264,"resource15-full34-vs-upstream",'原始计时'!$B$5:$B$264,"F05",'原始计时'!$C$5:$C$264,"original",'原始计时'!$D$5:$D$264,1)/SUMIFS('原始计时'!$F$5:$F$264,'原始计时'!$A$5:$A$264,"resource15-full34-vs-upstream",'原始计时'!$B$5:$B$264,"F05",'原始计时'!$C$5:$C$264,"original",'原始计时'!$D$5:$D$264,1)/1000000)-1</x:f>
        <x:v>5.647791702871671</x:v>
      </x:c>
      <x:c r="G19" s="14" t="n">
        <x:f>SUMIFS('原始计时'!$E$5:$E$264,'原始计时'!$A$5:$A$264,"resource15-full34-vs-upstream",'原始计时'!$B$5:$B$264,"F05",'原始计时'!$C$5:$C$264,"optimized",'原始计时'!$D$5:$D$264,2)/SUMIFS('原始计时'!$F$5:$F$264,'原始计时'!$A$5:$A$264,"resource15-full34-vs-upstream",'原始计时'!$B$5:$B$264,"F05",'原始计时'!$C$5:$C$264,"optimized",'原始计时'!$D$5:$D$264,2)/1000000/(SUMIFS('原始计时'!$E$5:$E$264,'原始计时'!$A$5:$A$264,"resource15-full34-vs-upstream",'原始计时'!$B$5:$B$264,"F05",'原始计时'!$C$5:$C$264,"original",'原始计时'!$D$5:$D$264,2)/SUMIFS('原始计时'!$F$5:$F$264,'原始计时'!$A$5:$A$264,"resource15-full34-vs-upstream",'原始计时'!$B$5:$B$264,"F05",'原始计时'!$C$5:$C$264,"original",'原始计时'!$D$5:$D$264,2)/1000000)-1</x:f>
        <x:v>5.5489477912894065</x:v>
      </x:c>
      <x:c r="H19" s="12" t="str">
        <x:f>IF(MIN(F19:G19)&gt;0,"两轮均正","含负轮次")</x:f>
        <x:v>两轮均正</x:v>
      </x:c>
      <x:c r="I19" s="11" t="str">
        <x:v>有限范围完整结果列表一致</x:v>
      </x:c>
    </x:row>
    <x:row r="20" ht="42" customHeight="1">
      <x:c r="A20" s="2" t="str">
        <x:v>F06</x:v>
      </x:c>
      <x:c r="B20" s="11" t="str">
        <x:v>三个条件事件的四次原始变牌中至少三次为 Rare</x:v>
      </x:c>
      <x:c r="C20" s="13" t="n">
        <x:f>SUMIFS('原始计时'!$E$5:$E$264,'原始计时'!$A$5:$A$264,"resource15-full34-vs-upstream",'原始计时'!$B$5:$B$264,"F06",'原始计时'!$C$5:$C$264,"original")/SUMIFS('原始计时'!$F$5:$F$264,'原始计时'!$A$5:$A$264,"resource15-full34-vs-upstream",'原始计时'!$B$5:$B$264,"F06",'原始计时'!$C$5:$C$264,"original")/1000000</x:f>
        <x:v>2.1192529175557895</x:v>
      </x:c>
      <x:c r="D20" s="13" t="n">
        <x:f>SUMIFS('原始计时'!$E$5:$E$264,'原始计时'!$A$5:$A$264,"resource15-full34-vs-upstream",'原始计时'!$B$5:$B$264,"F06",'原始计时'!$C$5:$C$264,"optimized")/SUMIFS('原始计时'!$F$5:$F$264,'原始计时'!$A$5:$A$264,"resource15-full34-vs-upstream",'原始计时'!$B$5:$B$264,"F06",'原始计时'!$C$5:$C$264,"optimized")/1000000</x:f>
        <x:v>2.784752795235919</x:v>
      </x:c>
      <x:c r="E20" s="14" t="n">
        <x:f>D20/C20-1</x:f>
        <x:v>0.3140256984747598</x:v>
      </x:c>
      <x:c r="F20" s="14" t="n">
        <x:f>SUMIFS('原始计时'!$E$5:$E$264,'原始计时'!$A$5:$A$264,"resource15-full34-vs-upstream",'原始计时'!$B$5:$B$264,"F06",'原始计时'!$C$5:$C$264,"optimized",'原始计时'!$D$5:$D$264,1)/SUMIFS('原始计时'!$F$5:$F$264,'原始计时'!$A$5:$A$264,"resource15-full34-vs-upstream",'原始计时'!$B$5:$B$264,"F06",'原始计时'!$C$5:$C$264,"optimized",'原始计时'!$D$5:$D$264,1)/1000000/(SUMIFS('原始计时'!$E$5:$E$264,'原始计时'!$A$5:$A$264,"resource15-full34-vs-upstream",'原始计时'!$B$5:$B$264,"F06",'原始计时'!$C$5:$C$264,"original",'原始计时'!$D$5:$D$264,1)/SUMIFS('原始计时'!$F$5:$F$264,'原始计时'!$A$5:$A$264,"resource15-full34-vs-upstream",'原始计时'!$B$5:$B$264,"F06",'原始计时'!$C$5:$C$264,"original",'原始计时'!$D$5:$D$264,1)/1000000)-1</x:f>
        <x:v>0.9767643793326395</x:v>
      </x:c>
      <x:c r="G20" s="14" t="n">
        <x:f>SUMIFS('原始计时'!$E$5:$E$264,'原始计时'!$A$5:$A$264,"resource15-full34-vs-upstream",'原始计时'!$B$5:$B$264,"F06",'原始计时'!$C$5:$C$264,"optimized",'原始计时'!$D$5:$D$264,2)/SUMIFS('原始计时'!$F$5:$F$264,'原始计时'!$A$5:$A$264,"resource15-full34-vs-upstream",'原始计时'!$B$5:$B$264,"F06",'原始计时'!$C$5:$C$264,"optimized",'原始计时'!$D$5:$D$264,2)/1000000/(SUMIFS('原始计时'!$E$5:$E$264,'原始计时'!$A$5:$A$264,"resource15-full34-vs-upstream",'原始计时'!$B$5:$B$264,"F06",'原始计时'!$C$5:$C$264,"original",'原始计时'!$D$5:$D$264,2)/SUMIFS('原始计时'!$F$5:$F$264,'原始计时'!$A$5:$A$264,"resource15-full34-vs-upstream",'原始计时'!$B$5:$B$264,"F06",'原始计时'!$C$5:$C$264,"original",'原始计时'!$D$5:$D$264,2)/1000000)-1</x:f>
        <x:v>-0.016767238500884463</x:v>
      </x:c>
      <x:c r="H20" s="12" t="str">
        <x:f>IF(MIN(F20:G20)&gt;0,"两轮均正","含负轮次")</x:f>
        <x:v>含负轮次</x:v>
      </x:c>
      <x:c r="I20" s="11" t="str">
        <x:v>后续复测出现负项或方向翻转</x:v>
      </x:c>
    </x:row>
    <x:row r="21" ht="45" customHeight="1">
      <x:c r="A21" s="2" t="str">
        <x:v>P01</x:v>
      </x:c>
      <x:c r="B21" s="11" t="str">
        <x:v>Ironclad：Bones 万花筒与小胶囊＋最终 GUILTY＋稀有首项 THE_COURIER＋首战供选 HAVOC</x:v>
      </x:c>
      <x:c r="C21" s="13" t="n">
        <x:f>SUMIFS('原始计时'!$E$5:$E$264,'原始计时'!$A$5:$A$264,"resource15-full34-vs-upstream",'原始计时'!$B$5:$B$264,"P01",'原始计时'!$C$5:$C$264,"original")/SUMIFS('原始计时'!$F$5:$F$264,'原始计时'!$A$5:$A$264,"resource15-full34-vs-upstream",'原始计时'!$B$5:$B$264,"P01",'原始计时'!$C$5:$C$264,"original")/1000000</x:f>
        <x:v>1670.78068886866</x:v>
      </x:c>
      <x:c r="D21" s="13" t="n">
        <x:f>SUMIFS('原始计时'!$E$5:$E$264,'原始计时'!$A$5:$A$264,"resource15-full34-vs-upstream",'原始计时'!$B$5:$B$264,"P01",'原始计时'!$C$5:$C$264,"optimized")/SUMIFS('原始计时'!$F$5:$F$264,'原始计时'!$A$5:$A$264,"resource15-full34-vs-upstream",'原始计时'!$B$5:$B$264,"P01",'原始计时'!$C$5:$C$264,"optimized")/1000000</x:f>
        <x:v>3165.905352642289</x:v>
      </x:c>
      <x:c r="E21" s="14" t="n">
        <x:f>D21/C21-1</x:f>
        <x:v>0.8948658993575191</x:v>
      </x:c>
      <x:c r="F21" s="14" t="n">
        <x:f>SUMIFS('原始计时'!$E$5:$E$264,'原始计时'!$A$5:$A$264,"resource15-full34-vs-upstream",'原始计时'!$B$5:$B$264,"P01",'原始计时'!$C$5:$C$264,"optimized",'原始计时'!$D$5:$D$264,1)/SUMIFS('原始计时'!$F$5:$F$264,'原始计时'!$A$5:$A$264,"resource15-full34-vs-upstream",'原始计时'!$B$5:$B$264,"P01",'原始计时'!$C$5:$C$264,"optimized",'原始计时'!$D$5:$D$264,1)/1000000/(SUMIFS('原始计时'!$E$5:$E$264,'原始计时'!$A$5:$A$264,"resource15-full34-vs-upstream",'原始计时'!$B$5:$B$264,"P01",'原始计时'!$C$5:$C$264,"original",'原始计时'!$D$5:$D$264,1)/SUMIFS('原始计时'!$F$5:$F$264,'原始计时'!$A$5:$A$264,"resource15-full34-vs-upstream",'原始计时'!$B$5:$B$264,"P01",'原始计时'!$C$5:$C$264,"original",'原始计时'!$D$5:$D$264,1)/1000000)-1</x:f>
        <x:v>0.9765094354347468</x:v>
      </x:c>
      <x:c r="G21" s="14" t="n">
        <x:f>SUMIFS('原始计时'!$E$5:$E$264,'原始计时'!$A$5:$A$264,"resource15-full34-vs-upstream",'原始计时'!$B$5:$B$264,"P01",'原始计时'!$C$5:$C$264,"optimized",'原始计时'!$D$5:$D$264,2)/SUMIFS('原始计时'!$F$5:$F$264,'原始计时'!$A$5:$A$264,"resource15-full34-vs-upstream",'原始计时'!$B$5:$B$264,"P01",'原始计时'!$C$5:$C$264,"optimized",'原始计时'!$D$5:$D$264,2)/1000000/(SUMIFS('原始计时'!$E$5:$E$264,'原始计时'!$A$5:$A$264,"resource15-full34-vs-upstream",'原始计时'!$B$5:$B$264,"P01",'原始计时'!$C$5:$C$264,"original",'原始计时'!$D$5:$D$264,2)/SUMIFS('原始计时'!$F$5:$F$264,'原始计时'!$A$5:$A$264,"resource15-full34-vs-upstream",'原始计时'!$B$5:$B$264,"P01",'原始计时'!$C$5:$C$264,"original",'原始计时'!$D$5:$D$264,2)/1000000)-1</x:f>
        <x:v>0.8204318242170994</x:v>
      </x:c>
      <x:c r="H21" s="12" t="str">
        <x:f>IF(MIN(F21:G21)&gt;0,"两轮均正","含负轮次")</x:f>
        <x:v>两轮均正</x:v>
      </x:c>
      <x:c r="I21" s="11" t="str">
        <x:v>固定验证区间零命中；见独立正例限制</x:v>
      </x:c>
    </x:row>
    <x:row r="22" ht="42" customHeight="1">
      <x:c r="A22" s="2" t="str">
        <x:v>P02</x:v>
      </x:c>
      <x:c r="B22" s="11" t="str">
        <x:v>世界 Boss＋条件事件结果＋前两次标准商店 Rare 无色槽</x:v>
      </x:c>
      <x:c r="C22" s="13" t="n">
        <x:f>SUMIFS('原始计时'!$E$5:$E$264,'原始计时'!$A$5:$A$264,"resource15-full34-vs-upstream",'原始计时'!$B$5:$B$264,"P02",'原始计时'!$C$5:$C$264,"original")/SUMIFS('原始计时'!$F$5:$F$264,'原始计时'!$A$5:$A$264,"resource15-full34-vs-upstream",'原始计时'!$B$5:$B$264,"P02",'原始计时'!$C$5:$C$264,"original")/1000000</x:f>
        <x:v>9.443656318744553</x:v>
      </x:c>
      <x:c r="D22" s="13" t="n">
        <x:f>SUMIFS('原始计时'!$E$5:$E$264,'原始计时'!$A$5:$A$264,"resource15-full34-vs-upstream",'原始计时'!$B$5:$B$264,"P02",'原始计时'!$C$5:$C$264,"optimized")/SUMIFS('原始计时'!$F$5:$F$264,'原始计时'!$A$5:$A$264,"resource15-full34-vs-upstream",'原始计时'!$B$5:$B$264,"P02",'原始计时'!$C$5:$C$264,"optimized")/1000000</x:f>
        <x:v>16.24085869979317</x:v>
      </x:c>
      <x:c r="E22" s="14" t="n">
        <x:f>D22/C22-1</x:f>
        <x:v>0.7197638448105066</x:v>
      </x:c>
      <x:c r="F22" s="14" t="n">
        <x:f>SUMIFS('原始计时'!$E$5:$E$264,'原始计时'!$A$5:$A$264,"resource15-full34-vs-upstream",'原始计时'!$B$5:$B$264,"P02",'原始计时'!$C$5:$C$264,"optimized",'原始计时'!$D$5:$D$264,1)/SUMIFS('原始计时'!$F$5:$F$264,'原始计时'!$A$5:$A$264,"resource15-full34-vs-upstream",'原始计时'!$B$5:$B$264,"P02",'原始计时'!$C$5:$C$264,"optimized",'原始计时'!$D$5:$D$264,1)/1000000/(SUMIFS('原始计时'!$E$5:$E$264,'原始计时'!$A$5:$A$264,"resource15-full34-vs-upstream",'原始计时'!$B$5:$B$264,"P02",'原始计时'!$C$5:$C$264,"original",'原始计时'!$D$5:$D$264,1)/SUMIFS('原始计时'!$F$5:$F$264,'原始计时'!$A$5:$A$264,"resource15-full34-vs-upstream",'原始计时'!$B$5:$B$264,"P02",'原始计时'!$C$5:$C$264,"original",'原始计时'!$D$5:$D$264,1)/1000000)-1</x:f>
        <x:v>0.5075298046464776</x:v>
      </x:c>
      <x:c r="G22" s="14" t="n">
        <x:f>SUMIFS('原始计时'!$E$5:$E$264,'原始计时'!$A$5:$A$264,"resource15-full34-vs-upstream",'原始计时'!$B$5:$B$264,"P02",'原始计时'!$C$5:$C$264,"optimized",'原始计时'!$D$5:$D$264,2)/SUMIFS('原始计时'!$F$5:$F$264,'原始计时'!$A$5:$A$264,"resource15-full34-vs-upstream",'原始计时'!$B$5:$B$264,"P02",'原始计时'!$C$5:$C$264,"optimized",'原始计时'!$D$5:$D$264,2)/1000000/(SUMIFS('原始计时'!$E$5:$E$264,'原始计时'!$A$5:$A$264,"resource15-full34-vs-upstream",'原始计时'!$B$5:$B$264,"P02",'原始计时'!$C$5:$C$264,"original",'原始计时'!$D$5:$D$264,2)/SUMIFS('原始计时'!$F$5:$F$264,'原始计时'!$A$5:$A$264,"resource15-full34-vs-upstream",'原始计时'!$B$5:$B$264,"P02",'原始计时'!$C$5:$C$264,"original",'原始计时'!$D$5:$D$264,2)/1000000)-1</x:f>
        <x:v>0.9503943039894835</x:v>
      </x:c>
      <x:c r="H22" s="12" t="str">
        <x:f>IF(MIN(F22:G22)&gt;0,"两轮均正","含负轮次")</x:f>
        <x:v>两轮均正</x:v>
      </x:c>
      <x:c r="I22" s="11" t="str">
        <x:v>有限范围完整结果列表一致</x:v>
      </x:c>
    </x:row>
    <x:row r="23" ht="42" customHeight="1">
      <x:c r="A23" s="2" t="str">
        <x:v>P03</x:v>
      </x:c>
      <x:c r="B23" s="11" t="str">
        <x:v>双人槽位 0/1 各自初始 Neow 供选包含指定两项</x:v>
      </x:c>
      <x:c r="C23" s="13" t="n">
        <x:f>SUMIFS('原始计时'!$E$5:$E$264,'原始计时'!$A$5:$A$264,"resource15-full34-vs-upstream",'原始计时'!$B$5:$B$264,"P03",'原始计时'!$C$5:$C$264,"original")/SUMIFS('原始计时'!$F$5:$F$264,'原始计时'!$A$5:$A$264,"resource15-full34-vs-upstream",'原始计时'!$B$5:$B$264,"P03",'原始计时'!$C$5:$C$264,"original")/1000000</x:f>
        <x:v>3.5421866864697398</x:v>
      </x:c>
      <x:c r="D23" s="13" t="n">
        <x:f>SUMIFS('原始计时'!$E$5:$E$264,'原始计时'!$A$5:$A$264,"resource15-full34-vs-upstream",'原始计时'!$B$5:$B$264,"P03",'原始计时'!$C$5:$C$264,"optimized")/SUMIFS('原始计时'!$F$5:$F$264,'原始计时'!$A$5:$A$264,"resource15-full34-vs-upstream",'原始计时'!$B$5:$B$264,"P03",'原始计时'!$C$5:$C$264,"optimized")/1000000</x:f>
        <x:v>33.43453039681621</x:v>
      </x:c>
      <x:c r="E23" s="14" t="n">
        <x:f>D23/C23-1</x:f>
        <x:v>8.438952081359146</x:v>
      </x:c>
      <x:c r="F23" s="14" t="n">
        <x:f>SUMIFS('原始计时'!$E$5:$E$264,'原始计时'!$A$5:$A$264,"resource15-full34-vs-upstream",'原始计时'!$B$5:$B$264,"P03",'原始计时'!$C$5:$C$264,"optimized",'原始计时'!$D$5:$D$264,1)/SUMIFS('原始计时'!$F$5:$F$264,'原始计时'!$A$5:$A$264,"resource15-full34-vs-upstream",'原始计时'!$B$5:$B$264,"P03",'原始计时'!$C$5:$C$264,"optimized",'原始计时'!$D$5:$D$264,1)/1000000/(SUMIFS('原始计时'!$E$5:$E$264,'原始计时'!$A$5:$A$264,"resource15-full34-vs-upstream",'原始计时'!$B$5:$B$264,"P03",'原始计时'!$C$5:$C$264,"original",'原始计时'!$D$5:$D$264,1)/SUMIFS('原始计时'!$F$5:$F$264,'原始计时'!$A$5:$A$264,"resource15-full34-vs-upstream",'原始计时'!$B$5:$B$264,"P03",'原始计时'!$C$5:$C$264,"original",'原始计时'!$D$5:$D$264,1)/1000000)-1</x:f>
        <x:v>9.342528952314357</x:v>
      </x:c>
      <x:c r="G23" s="14" t="n">
        <x:f>SUMIFS('原始计时'!$E$5:$E$264,'原始计时'!$A$5:$A$264,"resource15-full34-vs-upstream",'原始计时'!$B$5:$B$264,"P03",'原始计时'!$C$5:$C$264,"optimized",'原始计时'!$D$5:$D$264,2)/SUMIFS('原始计时'!$F$5:$F$264,'原始计时'!$A$5:$A$264,"resource15-full34-vs-upstream",'原始计时'!$B$5:$B$264,"P03",'原始计时'!$C$5:$C$264,"optimized",'原始计时'!$D$5:$D$264,2)/1000000/(SUMIFS('原始计时'!$E$5:$E$264,'原始计时'!$A$5:$A$264,"resource15-full34-vs-upstream",'原始计时'!$B$5:$B$264,"P03",'原始计时'!$C$5:$C$264,"original",'原始计时'!$D$5:$D$264,2)/SUMIFS('原始计时'!$F$5:$F$264,'原始计时'!$A$5:$A$264,"resource15-full34-vs-upstream",'原始计时'!$B$5:$B$264,"P03",'原始计时'!$C$5:$C$264,"original",'原始计时'!$D$5:$D$264,2)/1000000)-1</x:f>
        <x:v>7.635423747346168</x:v>
      </x:c>
      <x:c r="H23" s="12" t="str">
        <x:f>IF(MIN(F23:G23)&gt;0,"两轮均正","含负轮次")</x:f>
        <x:v>两轮均正</x:v>
      </x:c>
      <x:c r="I23" s="11" t="str">
        <x:v>有限范围完整结果列表一致</x:v>
      </x:c>
    </x:row>
    <x:row r="24" ht="60" customHeight="1">
      <x:c r="A24" s="2" t="str">
        <x:v>RC01</x:v>
      </x:c>
      <x:c r="B24" s="11" t="str">
        <x:v>Silent：Bones 万花筒与叶药，双组供选 MOMENTUM_STRIKE / PALE_BLUE_DOT，双变牌 BLUR / CORROSIVE_WAVE，最终 DOUBT</x:v>
      </x:c>
      <x:c r="C24" s="13" t="n">
        <x:f>SUMIFS('原始计时'!$E$5:$E$264,'原始计时'!$A$5:$A$264,"resource15-full34-vs-upstream",'原始计时'!$B$5:$B$264,"RC01",'原始计时'!$C$5:$C$264,"original")/SUMIFS('原始计时'!$F$5:$F$264,'原始计时'!$A$5:$A$264,"resource15-full34-vs-upstream",'原始计时'!$B$5:$B$264,"RC01",'原始计时'!$C$5:$C$264,"original")/1000000</x:f>
        <x:v>14873.769877096616</x:v>
      </x:c>
      <x:c r="D24" s="13" t="n">
        <x:f>SUMIFS('原始计时'!$E$5:$E$264,'原始计时'!$A$5:$A$264,"resource15-full34-vs-upstream",'原始计时'!$B$5:$B$264,"RC01",'原始计时'!$C$5:$C$264,"optimized")/SUMIFS('原始计时'!$F$5:$F$264,'原始计时'!$A$5:$A$264,"resource15-full34-vs-upstream",'原始计时'!$B$5:$B$264,"RC01",'原始计时'!$C$5:$C$264,"optimized")/1000000</x:f>
        <x:v>33774.131787804516</x:v>
      </x:c>
      <x:c r="E24" s="14" t="n">
        <x:f>D24/C24-1</x:f>
        <x:v>1.2707176503928324</x:v>
      </x:c>
      <x:c r="F24" s="14" t="n">
        <x:f>SUMIFS('原始计时'!$E$5:$E$264,'原始计时'!$A$5:$A$264,"resource15-full34-vs-upstream",'原始计时'!$B$5:$B$264,"RC01",'原始计时'!$C$5:$C$264,"optimized",'原始计时'!$D$5:$D$264,1)/SUMIFS('原始计时'!$F$5:$F$264,'原始计时'!$A$5:$A$264,"resource15-full34-vs-upstream",'原始计时'!$B$5:$B$264,"RC01",'原始计时'!$C$5:$C$264,"optimized",'原始计时'!$D$5:$D$264,1)/1000000/(SUMIFS('原始计时'!$E$5:$E$264,'原始计时'!$A$5:$A$264,"resource15-full34-vs-upstream",'原始计时'!$B$5:$B$264,"RC01",'原始计时'!$C$5:$C$264,"original",'原始计时'!$D$5:$D$264,1)/SUMIFS('原始计时'!$F$5:$F$264,'原始计时'!$A$5:$A$264,"resource15-full34-vs-upstream",'原始计时'!$B$5:$B$264,"RC01",'原始计时'!$C$5:$C$264,"original",'原始计时'!$D$5:$D$264,1)/1000000)-1</x:f>
        <x:v>1.2863957827784334</x:v>
      </x:c>
      <x:c r="G24" s="14" t="n">
        <x:f>SUMIFS('原始计时'!$E$5:$E$264,'原始计时'!$A$5:$A$264,"resource15-full34-vs-upstream",'原始计时'!$B$5:$B$264,"RC01",'原始计时'!$C$5:$C$264,"optimized",'原始计时'!$D$5:$D$264,2)/SUMIFS('原始计时'!$F$5:$F$264,'原始计时'!$A$5:$A$264,"resource15-full34-vs-upstream",'原始计时'!$B$5:$B$264,"RC01",'原始计时'!$C$5:$C$264,"optimized",'原始计时'!$D$5:$D$264,2)/1000000/(SUMIFS('原始计时'!$E$5:$E$264,'原始计时'!$A$5:$A$264,"resource15-full34-vs-upstream",'原始计时'!$B$5:$B$264,"RC01",'原始计时'!$C$5:$C$264,"original",'原始计时'!$D$5:$D$264,2)/SUMIFS('原始计时'!$F$5:$F$264,'原始计时'!$A$5:$A$264,"resource15-full34-vs-upstream",'原始计时'!$B$5:$B$264,"RC01",'原始计时'!$C$5:$C$264,"original",'原始计时'!$D$5:$D$264,2)/1000000)-1</x:f>
        <x:v>1.2558504978888019</x:v>
      </x:c>
      <x:c r="H24" s="12" t="str">
        <x:f>IF(MIN(F24:G24)&gt;0,"两轮均正","含负轮次")</x:f>
        <x:v>两轮均正</x:v>
      </x:c>
      <x:c r="I24" s="11" t="str">
        <x:v>有限范围完整结果列表一致</x:v>
      </x:c>
    </x:row>
    <x:row r="25" ht="60" customHeight="1">
      <x:c r="A25" s="2" t="str">
        <x:v>RC02</x:v>
      </x:c>
      <x:c r="B25" s="11" t="str">
        <x:v>Silent：Bones 万花筒与叶药，双组供选 WISP / FTL，双变牌 EXPOSE / SIDESTEP，最终 DECAY＋稀有首项 POCKETWATCH＋首战供选 SNAKEBITE</x:v>
      </x:c>
      <x:c r="C25" s="13" t="n">
        <x:f>SUMIFS('原始计时'!$E$5:$E$264,'原始计时'!$A$5:$A$264,"resource15-full34-vs-upstream",'原始计时'!$B$5:$B$264,"RC02",'原始计时'!$C$5:$C$264,"original")/SUMIFS('原始计时'!$F$5:$F$264,'原始计时'!$A$5:$A$264,"resource15-full34-vs-upstream",'原始计时'!$B$5:$B$264,"RC02",'原始计时'!$C$5:$C$264,"original")/1000000</x:f>
        <x:v>15205.783531438687</x:v>
      </x:c>
      <x:c r="D25" s="13" t="n">
        <x:f>SUMIFS('原始计时'!$E$5:$E$264,'原始计时'!$A$5:$A$264,"resource15-full34-vs-upstream",'原始计时'!$B$5:$B$264,"RC02",'原始计时'!$C$5:$C$264,"optimized")/SUMIFS('原始计时'!$F$5:$F$264,'原始计时'!$A$5:$A$264,"resource15-full34-vs-upstream",'原始计时'!$B$5:$B$264,"RC02",'原始计时'!$C$5:$C$264,"optimized")/1000000</x:f>
        <x:v>27853.30574535942</x:v>
      </x:c>
      <x:c r="E25" s="14" t="n">
        <x:f>D25/C25-1</x:f>
        <x:v>0.831757349943288</x:v>
      </x:c>
      <x:c r="F25" s="14" t="n">
        <x:f>SUMIFS('原始计时'!$E$5:$E$264,'原始计时'!$A$5:$A$264,"resource15-full34-vs-upstream",'原始计时'!$B$5:$B$264,"RC02",'原始计时'!$C$5:$C$264,"optimized",'原始计时'!$D$5:$D$264,1)/SUMIFS('原始计时'!$F$5:$F$264,'原始计时'!$A$5:$A$264,"resource15-full34-vs-upstream",'原始计时'!$B$5:$B$264,"RC02",'原始计时'!$C$5:$C$264,"optimized",'原始计时'!$D$5:$D$264,1)/1000000/(SUMIFS('原始计时'!$E$5:$E$264,'原始计时'!$A$5:$A$264,"resource15-full34-vs-upstream",'原始计时'!$B$5:$B$264,"RC02",'原始计时'!$C$5:$C$264,"original",'原始计时'!$D$5:$D$264,1)/SUMIFS('原始计时'!$F$5:$F$264,'原始计时'!$A$5:$A$264,"resource15-full34-vs-upstream",'原始计时'!$B$5:$B$264,"RC02",'原始计时'!$C$5:$C$264,"original",'原始计时'!$D$5:$D$264,1)/1000000)-1</x:f>
        <x:v>0.8907328184666248</x:v>
      </x:c>
      <x:c r="G25" s="14" t="n">
        <x:f>SUMIFS('原始计时'!$E$5:$E$264,'原始计时'!$A$5:$A$264,"resource15-full34-vs-upstream",'原始计时'!$B$5:$B$264,"RC02",'原始计时'!$C$5:$C$264,"optimized",'原始计时'!$D$5:$D$264,2)/SUMIFS('原始计时'!$F$5:$F$264,'原始计时'!$A$5:$A$264,"resource15-full34-vs-upstream",'原始计时'!$B$5:$B$264,"RC02",'原始计时'!$C$5:$C$264,"optimized",'原始计时'!$D$5:$D$264,2)/1000000/(SUMIFS('原始计时'!$E$5:$E$264,'原始计时'!$A$5:$A$264,"resource15-full34-vs-upstream",'原始计时'!$B$5:$B$264,"RC02",'原始计时'!$C$5:$C$264,"original",'原始计时'!$D$5:$D$264,2)/SUMIFS('原始计时'!$F$5:$F$264,'原始计时'!$A$5:$A$264,"resource15-full34-vs-upstream",'原始计时'!$B$5:$B$264,"RC02",'原始计时'!$C$5:$C$264,"original",'原始计时'!$D$5:$D$264,2)/1000000)-1</x:f>
        <x:v>0.7761748083647357</x:v>
      </x:c>
      <x:c r="H25" s="12" t="str">
        <x:f>IF(MIN(F25:G25)&gt;0,"两轮均正","含负轮次")</x:f>
        <x:v>两轮均正</x:v>
      </x:c>
      <x:c r="I25" s="11" t="str">
        <x:v>有限范围完整结果列表一致</x:v>
      </x:c>
    </x:row>
    <x:row r="26" ht="45" customHeight="1">
      <x:c r="A26" s="2" t="str">
        <x:v>RC03</x:v>
      </x:c>
      <x:c r="B26" s="11" t="str">
        <x:v>Silent：Bones 万花筒与小胶囊，双组供选 TRUE_GRIT / TAUNT，小胶囊 KUSARIGAMA，最终 DECAY＋稀有首项 PAPER_KRANE</x:v>
      </x:c>
      <x:c r="C26" s="13" t="n">
        <x:f>SUMIFS('原始计时'!$E$5:$E$264,'原始计时'!$A$5:$A$264,"resource15-full34-vs-upstream",'原始计时'!$B$5:$B$264,"RC03",'原始计时'!$C$5:$C$264,"original")/SUMIFS('原始计时'!$F$5:$F$264,'原始计时'!$A$5:$A$264,"resource15-full34-vs-upstream",'原始计时'!$B$5:$B$264,"RC03",'原始计时'!$C$5:$C$264,"original")/1000000</x:f>
        <x:v>4483.639338457511</x:v>
      </x:c>
      <x:c r="D26" s="13" t="n">
        <x:f>SUMIFS('原始计时'!$E$5:$E$264,'原始计时'!$A$5:$A$264,"resource15-full34-vs-upstream",'原始计时'!$B$5:$B$264,"RC03",'原始计时'!$C$5:$C$264,"optimized")/SUMIFS('原始计时'!$F$5:$F$264,'原始计时'!$A$5:$A$264,"resource15-full34-vs-upstream",'原始计时'!$B$5:$B$264,"RC03",'原始计时'!$C$5:$C$264,"optimized")/1000000</x:f>
        <x:v>21816.04917278097</x:v>
      </x:c>
      <x:c r="E26" s="14" t="n">
        <x:f>D26/C26-1</x:f>
        <x:v>3.8657011695071484</x:v>
      </x:c>
      <x:c r="F26" s="14" t="n">
        <x:f>SUMIFS('原始计时'!$E$5:$E$264,'原始计时'!$A$5:$A$264,"resource15-full34-vs-upstream",'原始计时'!$B$5:$B$264,"RC03",'原始计时'!$C$5:$C$264,"optimized",'原始计时'!$D$5:$D$264,1)/SUMIFS('原始计时'!$F$5:$F$264,'原始计时'!$A$5:$A$264,"resource15-full34-vs-upstream",'原始计时'!$B$5:$B$264,"RC03",'原始计时'!$C$5:$C$264,"optimized",'原始计时'!$D$5:$D$264,1)/1000000/(SUMIFS('原始计时'!$E$5:$E$264,'原始计时'!$A$5:$A$264,"resource15-full34-vs-upstream",'原始计时'!$B$5:$B$264,"RC03",'原始计时'!$C$5:$C$264,"original",'原始计时'!$D$5:$D$264,1)/SUMIFS('原始计时'!$F$5:$F$264,'原始计时'!$A$5:$A$264,"resource15-full34-vs-upstream",'原始计时'!$B$5:$B$264,"RC03",'原始计时'!$C$5:$C$264,"original",'原始计时'!$D$5:$D$264,1)/1000000)-1</x:f>
        <x:v>3.8739178971461214</x:v>
      </x:c>
      <x:c r="G26" s="14" t="n">
        <x:f>SUMIFS('原始计时'!$E$5:$E$264,'原始计时'!$A$5:$A$264,"resource15-full34-vs-upstream",'原始计时'!$B$5:$B$264,"RC03",'原始计时'!$C$5:$C$264,"optimized",'原始计时'!$D$5:$D$264,2)/SUMIFS('原始计时'!$F$5:$F$264,'原始计时'!$A$5:$A$264,"resource15-full34-vs-upstream",'原始计时'!$B$5:$B$264,"RC03",'原始计时'!$C$5:$C$264,"optimized",'原始计时'!$D$5:$D$264,2)/1000000/(SUMIFS('原始计时'!$E$5:$E$264,'原始计时'!$A$5:$A$264,"resource15-full34-vs-upstream",'原始计时'!$B$5:$B$264,"RC03",'原始计时'!$C$5:$C$264,"original",'原始计时'!$D$5:$D$264,2)/SUMIFS('原始计时'!$F$5:$F$264,'原始计时'!$A$5:$A$264,"resource15-full34-vs-upstream",'原始计时'!$B$5:$B$264,"RC03",'原始计时'!$C$5:$C$264,"original",'原始计时'!$D$5:$D$264,2)/1000000)-1</x:f>
        <x:v>3.8576866474121525</x:v>
      </x:c>
      <x:c r="H26" s="12" t="str">
        <x:f>IF(MIN(F26:G26)&gt;0,"两轮均正","含负轮次")</x:f>
        <x:v>两轮均正</x:v>
      </x:c>
      <x:c r="I26" s="11" t="str">
        <x:v>有限范围完整结果列表一致</x:v>
      </x:c>
    </x:row>
    <x:row r="27" ht="60" customHeight="1">
      <x:c r="A27" s="2" t="str">
        <x:v>RC04</x:v>
      </x:c>
      <x:c r="B27" s="11" t="str">
        <x:v>Silent：Bones 万花筒与大胶囊，双组供选 TAUNT / KINGLY_KICK，大胶囊 RED_MASK / BRONZE_SCALES，最终 DEBT＋首战供选 DODGE_AND_ROLL</x:v>
      </x:c>
      <x:c r="C27" s="13" t="n">
        <x:f>SUMIFS('原始计时'!$E$5:$E$264,'原始计时'!$A$5:$A$264,"resource15-full34-vs-upstream",'原始计时'!$B$5:$B$264,"RC04",'原始计时'!$C$5:$C$264,"original")/SUMIFS('原始计时'!$F$5:$F$264,'原始计时'!$A$5:$A$264,"resource15-full34-vs-upstream",'原始计时'!$B$5:$B$264,"RC04",'原始计时'!$C$5:$C$264,"original")/1000000</x:f>
        <x:v>6848.758955257094</x:v>
      </x:c>
      <x:c r="D27" s="13" t="n">
        <x:f>SUMIFS('原始计时'!$E$5:$E$264,'原始计时'!$A$5:$A$264,"resource15-full34-vs-upstream",'原始计时'!$B$5:$B$264,"RC04",'原始计时'!$C$5:$C$264,"optimized")/SUMIFS('原始计时'!$F$5:$F$264,'原始计时'!$A$5:$A$264,"resource15-full34-vs-upstream",'原始计时'!$B$5:$B$264,"RC04",'原始计时'!$C$5:$C$264,"optimized")/1000000</x:f>
        <x:v>21899.39914389692</x:v>
      </x:c>
      <x:c r="E27" s="14" t="n">
        <x:f>D27/C27-1</x:f>
        <x:v>2.197571893968758</x:v>
      </x:c>
      <x:c r="F27" s="14" t="n">
        <x:f>SUMIFS('原始计时'!$E$5:$E$264,'原始计时'!$A$5:$A$264,"resource15-full34-vs-upstream",'原始计时'!$B$5:$B$264,"RC04",'原始计时'!$C$5:$C$264,"optimized",'原始计时'!$D$5:$D$264,1)/SUMIFS('原始计时'!$F$5:$F$264,'原始计时'!$A$5:$A$264,"resource15-full34-vs-upstream",'原始计时'!$B$5:$B$264,"RC04",'原始计时'!$C$5:$C$264,"optimized",'原始计时'!$D$5:$D$264,1)/1000000/(SUMIFS('原始计时'!$E$5:$E$264,'原始计时'!$A$5:$A$264,"resource15-full34-vs-upstream",'原始计时'!$B$5:$B$264,"RC04",'原始计时'!$C$5:$C$264,"original",'原始计时'!$D$5:$D$264,1)/SUMIFS('原始计时'!$F$5:$F$264,'原始计时'!$A$5:$A$264,"resource15-full34-vs-upstream",'原始计时'!$B$5:$B$264,"RC04",'原始计时'!$C$5:$C$264,"original",'原始计时'!$D$5:$D$264,1)/1000000)-1</x:f>
        <x:v>2.2316089258406087</x:v>
      </x:c>
      <x:c r="G27" s="14" t="n">
        <x:f>SUMIFS('原始计时'!$E$5:$E$264,'原始计时'!$A$5:$A$264,"resource15-full34-vs-upstream",'原始计时'!$B$5:$B$264,"RC04",'原始计时'!$C$5:$C$264,"optimized",'原始计时'!$D$5:$D$264,2)/SUMIFS('原始计时'!$F$5:$F$264,'原始计时'!$A$5:$A$264,"resource15-full34-vs-upstream",'原始计时'!$B$5:$B$264,"RC04",'原始计时'!$C$5:$C$264,"optimized",'原始计时'!$D$5:$D$264,2)/1000000/(SUMIFS('原始计时'!$E$5:$E$264,'原始计时'!$A$5:$A$264,"resource15-full34-vs-upstream",'原始计时'!$B$5:$B$264,"RC04",'原始计时'!$C$5:$C$264,"original",'原始计时'!$D$5:$D$264,2)/SUMIFS('原始计时'!$F$5:$F$264,'原始计时'!$A$5:$A$264,"resource15-full34-vs-upstream",'原始计时'!$B$5:$B$264,"RC04",'原始计时'!$C$5:$C$264,"original",'原始计时'!$D$5:$D$264,2)/1000000)-1</x:f>
        <x:v>2.1635423522364188</x:v>
      </x:c>
      <x:c r="H27" s="12" t="str">
        <x:f>IF(MIN(F27:G27)&gt;0,"两轮均正","含负轮次")</x:f>
        <x:v>两轮均正</x:v>
      </x:c>
      <x:c r="I27" s="11" t="str">
        <x:v>有限范围完整结果列表一致</x:v>
      </x:c>
    </x:row>
    <x:row r="28" ht="42" customHeight="1">
      <x:c r="A28" s="2" t="str">
        <x:v>RC05</x:v>
      </x:c>
      <x:c r="B28" s="11" t="str">
        <x:v>条件事件结果＋第一/二幕世界 Boss＋前两次标准商店无色槽</x:v>
      </x:c>
      <x:c r="C28" s="13" t="n">
        <x:f>SUMIFS('原始计时'!$E$5:$E$264,'原始计时'!$A$5:$A$264,"resource15-full34-vs-upstream",'原始计时'!$B$5:$B$264,"RC05",'原始计时'!$C$5:$C$264,"original")/SUMIFS('原始计时'!$F$5:$F$264,'原始计时'!$A$5:$A$264,"resource15-full34-vs-upstream",'原始计时'!$B$5:$B$264,"RC05",'原始计时'!$C$5:$C$264,"original")/1000000</x:f>
        <x:v>578.0328879503215</x:v>
      </x:c>
      <x:c r="D28" s="13" t="n">
        <x:f>SUMIFS('原始计时'!$E$5:$E$264,'原始计时'!$A$5:$A$264,"resource15-full34-vs-upstream",'原始计时'!$B$5:$B$264,"RC05",'原始计时'!$C$5:$C$264,"optimized")/SUMIFS('原始计时'!$F$5:$F$264,'原始计时'!$A$5:$A$264,"resource15-full34-vs-upstream",'原始计时'!$B$5:$B$264,"RC05",'原始计时'!$C$5:$C$264,"optimized")/1000000</x:f>
        <x:v>4666.949918792842</x:v>
      </x:c>
      <x:c r="E28" s="14" t="n">
        <x:f>D28/C28-1</x:f>
        <x:v>7.0738484194932845</x:v>
      </x:c>
      <x:c r="F28" s="14" t="n">
        <x:f>SUMIFS('原始计时'!$E$5:$E$264,'原始计时'!$A$5:$A$264,"resource15-full34-vs-upstream",'原始计时'!$B$5:$B$264,"RC05",'原始计时'!$C$5:$C$264,"optimized",'原始计时'!$D$5:$D$264,1)/SUMIFS('原始计时'!$F$5:$F$264,'原始计时'!$A$5:$A$264,"resource15-full34-vs-upstream",'原始计时'!$B$5:$B$264,"RC05",'原始计时'!$C$5:$C$264,"optimized",'原始计时'!$D$5:$D$264,1)/1000000/(SUMIFS('原始计时'!$E$5:$E$264,'原始计时'!$A$5:$A$264,"resource15-full34-vs-upstream",'原始计时'!$B$5:$B$264,"RC05",'原始计时'!$C$5:$C$264,"original",'原始计时'!$D$5:$D$264,1)/SUMIFS('原始计时'!$F$5:$F$264,'原始计时'!$A$5:$A$264,"resource15-full34-vs-upstream",'原始计时'!$B$5:$B$264,"RC05",'原始计时'!$C$5:$C$264,"original",'原始计时'!$D$5:$D$264,1)/1000000)-1</x:f>
        <x:v>7.224485307639119</x:v>
      </x:c>
      <x:c r="G28" s="14" t="n">
        <x:f>SUMIFS('原始计时'!$E$5:$E$264,'原始计时'!$A$5:$A$264,"resource15-full34-vs-upstream",'原始计时'!$B$5:$B$264,"RC05",'原始计时'!$C$5:$C$264,"optimized",'原始计时'!$D$5:$D$264,2)/SUMIFS('原始计时'!$F$5:$F$264,'原始计时'!$A$5:$A$264,"resource15-full34-vs-upstream",'原始计时'!$B$5:$B$264,"RC05",'原始计时'!$C$5:$C$264,"optimized",'原始计时'!$D$5:$D$264,2)/1000000/(SUMIFS('原始计时'!$E$5:$E$264,'原始计时'!$A$5:$A$264,"resource15-full34-vs-upstream",'原始计时'!$B$5:$B$264,"RC05",'原始计时'!$C$5:$C$264,"original",'原始计时'!$D$5:$D$264,2)/SUMIFS('原始计时'!$F$5:$F$264,'原始计时'!$A$5:$A$264,"resource15-full34-vs-upstream",'原始计时'!$B$5:$B$264,"RC05",'原始计时'!$C$5:$C$264,"original",'原始计时'!$D$5:$D$264,2)/1000000)-1</x:f>
        <x:v>6.949158271873265</x:v>
      </x:c>
      <x:c r="H28" s="12" t="str">
        <x:f>IF(MIN(F28:G28)&gt;0,"两轮均正","含负轮次")</x:f>
        <x:v>两轮均正</x:v>
      </x:c>
      <x:c r="I28" s="11" t="str">
        <x:v>有限范围完整结果列表一致</x:v>
      </x:c>
    </x:row>
    <x:row r="29" ht="42" customHeight="1">
      <x:c r="A29" s="2" t="str">
        <x:v>RC06</x:v>
      </x:c>
      <x:c r="B29" s="11" t="str">
        <x:v>条件事件结果＋第二/三幕世界双 Boss＋前三次标准商店无色槽</x:v>
      </x:c>
      <x:c r="C29" s="13" t="n">
        <x:f>SUMIFS('原始计时'!$E$5:$E$264,'原始计时'!$A$5:$A$264,"resource15-full34-vs-upstream",'原始计时'!$B$5:$B$264,"RC06",'原始计时'!$C$5:$C$264,"original")/SUMIFS('原始计时'!$F$5:$F$264,'原始计时'!$A$5:$A$264,"resource15-full34-vs-upstream",'原始计时'!$B$5:$B$264,"RC06",'原始计时'!$C$5:$C$264,"original")/1000000</x:f>
        <x:v>1270.149510756356</x:v>
      </x:c>
      <x:c r="D29" s="13" t="n">
        <x:f>SUMIFS('原始计时'!$E$5:$E$264,'原始计时'!$A$5:$A$264,"resource15-full34-vs-upstream",'原始计时'!$B$5:$B$264,"RC06",'原始计时'!$C$5:$C$264,"optimized")/SUMIFS('原始计时'!$F$5:$F$264,'原始计时'!$A$5:$A$264,"resource15-full34-vs-upstream",'原始计时'!$B$5:$B$264,"RC06",'原始计时'!$C$5:$C$264,"optimized")/1000000</x:f>
        <x:v>7050.608152488532</x:v>
      </x:c>
      <x:c r="E29" s="14" t="n">
        <x:f>D29/C29-1</x:f>
        <x:v>4.551006470324896</x:v>
      </x:c>
      <x:c r="F29" s="14" t="n">
        <x:f>SUMIFS('原始计时'!$E$5:$E$264,'原始计时'!$A$5:$A$264,"resource15-full34-vs-upstream",'原始计时'!$B$5:$B$264,"RC06",'原始计时'!$C$5:$C$264,"optimized",'原始计时'!$D$5:$D$264,1)/SUMIFS('原始计时'!$F$5:$F$264,'原始计时'!$A$5:$A$264,"resource15-full34-vs-upstream",'原始计时'!$B$5:$B$264,"RC06",'原始计时'!$C$5:$C$264,"optimized",'原始计时'!$D$5:$D$264,1)/1000000/(SUMIFS('原始计时'!$E$5:$E$264,'原始计时'!$A$5:$A$264,"resource15-full34-vs-upstream",'原始计时'!$B$5:$B$264,"RC06",'原始计时'!$C$5:$C$264,"original",'原始计时'!$D$5:$D$264,1)/SUMIFS('原始计时'!$F$5:$F$264,'原始计时'!$A$5:$A$264,"resource15-full34-vs-upstream",'原始计时'!$B$5:$B$264,"RC06",'原始计时'!$C$5:$C$264,"original",'原始计时'!$D$5:$D$264,1)/1000000)-1</x:f>
        <x:v>4.814100686803909</x:v>
      </x:c>
      <x:c r="G29" s="14" t="n">
        <x:f>SUMIFS('原始计时'!$E$5:$E$264,'原始计时'!$A$5:$A$264,"resource15-full34-vs-upstream",'原始计时'!$B$5:$B$264,"RC06",'原始计时'!$C$5:$C$264,"optimized",'原始计时'!$D$5:$D$264,2)/SUMIFS('原始计时'!$F$5:$F$264,'原始计时'!$A$5:$A$264,"resource15-full34-vs-upstream",'原始计时'!$B$5:$B$264,"RC06",'原始计时'!$C$5:$C$264,"optimized",'原始计时'!$D$5:$D$264,2)/1000000/(SUMIFS('原始计时'!$E$5:$E$264,'原始计时'!$A$5:$A$264,"resource15-full34-vs-upstream",'原始计时'!$B$5:$B$264,"RC06",'原始计时'!$C$5:$C$264,"original",'原始计时'!$D$5:$D$264,2)/SUMIFS('原始计时'!$F$5:$F$264,'原始计时'!$A$5:$A$264,"resource15-full34-vs-upstream",'原始计时'!$B$5:$B$264,"RC06",'原始计时'!$C$5:$C$264,"original",'原始计时'!$D$5:$D$264,2)/1000000)-1</x:f>
        <x:v>4.302355470231575</x:v>
      </x:c>
      <x:c r="H29" s="12" t="str">
        <x:f>IF(MIN(F29:G29)&gt;0,"两轮均正","含负轮次")</x:f>
        <x:v>两轮均正</x:v>
      </x:c>
      <x:c r="I29" s="11" t="str">
        <x:v>有限范围完整结果列表一致</x:v>
      </x:c>
    </x:row>
    <x:row r="30" ht="42" customHeight="1">
      <x:c r="A30" s="2" t="str">
        <x:v>RC07</x:v>
      </x:c>
      <x:c r="B30" s="11" t="str">
        <x:v>条件事件结果＋第一/三幕世界 Boss＋稀有首项 TUNGSTEN_ROD＋前两次标准商店无色槽</x:v>
      </x:c>
      <x:c r="C30" s="13" t="n">
        <x:f>SUMIFS('原始计时'!$E$5:$E$264,'原始计时'!$A$5:$A$264,"resource15-full34-vs-upstream",'原始计时'!$B$5:$B$264,"RC07",'原始计时'!$C$5:$C$264,"original")/SUMIFS('原始计时'!$F$5:$F$264,'原始计时'!$A$5:$A$264,"resource15-full34-vs-upstream",'原始计时'!$B$5:$B$264,"RC07",'原始计时'!$C$5:$C$264,"original")/1000000</x:f>
        <x:v>1242.5304060672831</x:v>
      </x:c>
      <x:c r="D30" s="13" t="n">
        <x:f>SUMIFS('原始计时'!$E$5:$E$264,'原始计时'!$A$5:$A$264,"resource15-full34-vs-upstream",'原始计时'!$B$5:$B$264,"RC07",'原始计时'!$C$5:$C$264,"optimized")/SUMIFS('原始计时'!$F$5:$F$264,'原始计时'!$A$5:$A$264,"resource15-full34-vs-upstream",'原始计时'!$B$5:$B$264,"RC07",'原始计时'!$C$5:$C$264,"optimized")/1000000</x:f>
        <x:v>6712.701672892726</x:v>
      </x:c>
      <x:c r="E30" s="14" t="n">
        <x:f>D30/C30-1</x:f>
        <x:v>4.402444592192324</x:v>
      </x:c>
      <x:c r="F30" s="14" t="n">
        <x:f>SUMIFS('原始计时'!$E$5:$E$264,'原始计时'!$A$5:$A$264,"resource15-full34-vs-upstream",'原始计时'!$B$5:$B$264,"RC07",'原始计时'!$C$5:$C$264,"optimized",'原始计时'!$D$5:$D$264,1)/SUMIFS('原始计时'!$F$5:$F$264,'原始计时'!$A$5:$A$264,"resource15-full34-vs-upstream",'原始计时'!$B$5:$B$264,"RC07",'原始计时'!$C$5:$C$264,"optimized",'原始计时'!$D$5:$D$264,1)/1000000/(SUMIFS('原始计时'!$E$5:$E$264,'原始计时'!$A$5:$A$264,"resource15-full34-vs-upstream",'原始计时'!$B$5:$B$264,"RC07",'原始计时'!$C$5:$C$264,"original",'原始计时'!$D$5:$D$264,1)/SUMIFS('原始计时'!$F$5:$F$264,'原始计时'!$A$5:$A$264,"resource15-full34-vs-upstream",'原始计时'!$B$5:$B$264,"RC07",'原始计时'!$C$5:$C$264,"original",'原始计时'!$D$5:$D$264,1)/1000000)-1</x:f>
        <x:v>4.576722636857938</x:v>
      </x:c>
      <x:c r="G30" s="14" t="n">
        <x:f>SUMIFS('原始计时'!$E$5:$E$264,'原始计时'!$A$5:$A$264,"resource15-full34-vs-upstream",'原始计时'!$B$5:$B$264,"RC07",'原始计时'!$C$5:$C$264,"optimized",'原始计时'!$D$5:$D$264,2)/SUMIFS('原始计时'!$F$5:$F$264,'原始计时'!$A$5:$A$264,"resource15-full34-vs-upstream",'原始计时'!$B$5:$B$264,"RC07",'原始计时'!$C$5:$C$264,"optimized",'原始计时'!$D$5:$D$264,2)/1000000/(SUMIFS('原始计时'!$E$5:$E$264,'原始计时'!$A$5:$A$264,"resource15-full34-vs-upstream",'原始计时'!$B$5:$B$264,"RC07",'原始计时'!$C$5:$C$264,"original",'原始计时'!$D$5:$D$264,2)/SUMIFS('原始计时'!$F$5:$F$264,'原始计时'!$A$5:$A$264,"resource15-full34-vs-upstream",'原始计时'!$B$5:$B$264,"RC07",'原始计时'!$C$5:$C$264,"original",'原始计时'!$D$5:$D$264,2)/1000000)-1</x:f>
        <x:v>4.240003145851997</x:v>
      </x:c>
      <x:c r="H30" s="12" t="str">
        <x:f>IF(MIN(F30:G30)&gt;0,"两轮均正","含负轮次")</x:f>
        <x:v>两轮均正</x:v>
      </x:c>
      <x:c r="I30" s="11" t="str">
        <x:v>有限范围完整结果列表一致</x:v>
      </x:c>
    </x:row>
    <x:row r="31" ht="42" customHeight="1">
      <x:c r="A31" s="2" t="str">
        <x:v>RC08</x:v>
      </x:c>
      <x:c r="B31" s="11" t="str">
        <x:v>条件事件结果＋第一/三幕世界 Boss＋首战供选 FLICK_FLACK＋前两次标准商店无色槽</x:v>
      </x:c>
      <x:c r="C31" s="13" t="n">
        <x:f>SUMIFS('原始计时'!$E$5:$E$264,'原始计时'!$A$5:$A$264,"resource15-full34-vs-upstream",'原始计时'!$B$5:$B$264,"RC08",'原始计时'!$C$5:$C$264,"original")/SUMIFS('原始计时'!$F$5:$F$264,'原始计时'!$A$5:$A$264,"resource15-full34-vs-upstream",'原始计时'!$B$5:$B$264,"RC08",'原始计时'!$C$5:$C$264,"original")/1000000</x:f>
        <x:v>1207.1552787597498</x:v>
      </x:c>
      <x:c r="D31" s="13" t="n">
        <x:f>SUMIFS('原始计时'!$E$5:$E$264,'原始计时'!$A$5:$A$264,"resource15-full34-vs-upstream",'原始计时'!$B$5:$B$264,"RC08",'原始计时'!$C$5:$C$264,"optimized")/SUMIFS('原始计时'!$F$5:$F$264,'原始计时'!$A$5:$A$264,"resource15-full34-vs-upstream",'原始计时'!$B$5:$B$264,"RC08",'原始计时'!$C$5:$C$264,"optimized")/1000000</x:f>
        <x:v>6912.815088883205</x:v>
      </x:c>
      <x:c r="E31" s="14" t="n">
        <x:f>D31/C31-1</x:f>
        <x:v>4.7265334547395925</x:v>
      </x:c>
      <x:c r="F31" s="14" t="n">
        <x:f>SUMIFS('原始计时'!$E$5:$E$264,'原始计时'!$A$5:$A$264,"resource15-full34-vs-upstream",'原始计时'!$B$5:$B$264,"RC08",'原始计时'!$C$5:$C$264,"optimized",'原始计时'!$D$5:$D$264,1)/SUMIFS('原始计时'!$F$5:$F$264,'原始计时'!$A$5:$A$264,"resource15-full34-vs-upstream",'原始计时'!$B$5:$B$264,"RC08",'原始计时'!$C$5:$C$264,"optimized",'原始计时'!$D$5:$D$264,1)/1000000/(SUMIFS('原始计时'!$E$5:$E$264,'原始计时'!$A$5:$A$264,"resource15-full34-vs-upstream",'原始计时'!$B$5:$B$264,"RC08",'原始计时'!$C$5:$C$264,"original",'原始计时'!$D$5:$D$264,1)/SUMIFS('原始计时'!$F$5:$F$264,'原始计时'!$A$5:$A$264,"resource15-full34-vs-upstream",'原始计时'!$B$5:$B$264,"RC08",'原始计时'!$C$5:$C$264,"original",'原始计时'!$D$5:$D$264,1)/1000000)-1</x:f>
        <x:v>4.983438790229335</x:v>
      </x:c>
      <x:c r="G31" s="14" t="n">
        <x:f>SUMIFS('原始计时'!$E$5:$E$264,'原始计时'!$A$5:$A$264,"resource15-full34-vs-upstream",'原始计时'!$B$5:$B$264,"RC08",'原始计时'!$C$5:$C$264,"optimized",'原始计时'!$D$5:$D$264,2)/SUMIFS('原始计时'!$F$5:$F$264,'原始计时'!$A$5:$A$264,"resource15-full34-vs-upstream",'原始计时'!$B$5:$B$264,"RC08",'原始计时'!$C$5:$C$264,"optimized",'原始计时'!$D$5:$D$264,2)/1000000/(SUMIFS('原始计时'!$E$5:$E$264,'原始计时'!$A$5:$A$264,"resource15-full34-vs-upstream",'原始计时'!$B$5:$B$264,"RC08",'原始计时'!$C$5:$C$264,"original",'原始计时'!$D$5:$D$264,2)/SUMIFS('原始计时'!$F$5:$F$264,'原始计时'!$A$5:$A$264,"resource15-full34-vs-upstream",'原始计时'!$B$5:$B$264,"RC08",'原始计时'!$C$5:$C$264,"original",'原始计时'!$D$5:$D$264,2)/1000000)-1</x:f>
        <x:v>4.483546653538175</x:v>
      </x:c>
      <x:c r="H31" s="12" t="str">
        <x:f>IF(MIN(F31:G31)&gt;0,"两轮均正","含负轮次")</x:f>
        <x:v>两轮均正</x:v>
      </x:c>
      <x:c r="I31" s="11" t="str">
        <x:v>有限范围完整结果列表一致</x:v>
      </x:c>
    </x:row>
    <x:row r="32" ht="60" customHeight="1">
      <x:c r="A32" s="2" t="str">
        <x:v>K01</x:v>
      </x:c>
      <x:c r="B32" s="11" t="str">
        <x:v>Ironclad：Bones 万花筒供选 ROYALTIES / THE_SMITH＋小胶囊 THE_COURIER＋最终 GUILTY＋稀有首项 THE_COURIER＋首战供选 HAVOC</x:v>
      </x:c>
      <x:c r="C32" s="13" t="n">
        <x:f>SUMIFS('原始计时'!$E$5:$E$264,'原始计时'!$A$5:$A$264,"resource15-full34-vs-upstream",'原始计时'!$B$5:$B$264,"K01",'原始计时'!$C$5:$C$264,"original")/SUMIFS('原始计时'!$F$5:$F$264,'原始计时'!$A$5:$A$264,"resource15-full34-vs-upstream",'原始计时'!$B$5:$B$264,"K01",'原始计时'!$C$5:$C$264,"original")/1000000</x:f>
        <x:v>12548.874373592245</x:v>
      </x:c>
      <x:c r="D32" s="13" t="n">
        <x:f>SUMIFS('原始计时'!$E$5:$E$264,'原始计时'!$A$5:$A$264,"resource15-full34-vs-upstream",'原始计时'!$B$5:$B$264,"K01",'原始计时'!$C$5:$C$264,"optimized")/SUMIFS('原始计时'!$F$5:$F$264,'原始计时'!$A$5:$A$264,"resource15-full34-vs-upstream",'原始计时'!$B$5:$B$264,"K01",'原始计时'!$C$5:$C$264,"optimized")/1000000</x:f>
        <x:v>22825.281108851344</x:v>
      </x:c>
      <x:c r="E32" s="14" t="n">
        <x:f>D32/C32-1</x:f>
        <x:v>0.8189106392589833</x:v>
      </x:c>
      <x:c r="F32" s="14" t="n">
        <x:f>SUMIFS('原始计时'!$E$5:$E$264,'原始计时'!$A$5:$A$264,"resource15-full34-vs-upstream",'原始计时'!$B$5:$B$264,"K01",'原始计时'!$C$5:$C$264,"optimized",'原始计时'!$D$5:$D$264,1)/SUMIFS('原始计时'!$F$5:$F$264,'原始计时'!$A$5:$A$264,"resource15-full34-vs-upstream",'原始计时'!$B$5:$B$264,"K01",'原始计时'!$C$5:$C$264,"optimized",'原始计时'!$D$5:$D$264,1)/1000000/(SUMIFS('原始计时'!$E$5:$E$264,'原始计时'!$A$5:$A$264,"resource15-full34-vs-upstream",'原始计时'!$B$5:$B$264,"K01",'原始计时'!$C$5:$C$264,"original",'原始计时'!$D$5:$D$264,1)/SUMIFS('原始计时'!$F$5:$F$264,'原始计时'!$A$5:$A$264,"resource15-full34-vs-upstream",'原始计时'!$B$5:$B$264,"K01",'原始计时'!$C$5:$C$264,"original",'原始计时'!$D$5:$D$264,1)/1000000)-1</x:f>
        <x:v>0.8361311414004955</x:v>
      </x:c>
      <x:c r="G32" s="14" t="n">
        <x:f>SUMIFS('原始计时'!$E$5:$E$264,'原始计时'!$A$5:$A$264,"resource15-full34-vs-upstream",'原始计时'!$B$5:$B$264,"K01",'原始计时'!$C$5:$C$264,"optimized",'原始计时'!$D$5:$D$264,2)/SUMIFS('原始计时'!$F$5:$F$264,'原始计时'!$A$5:$A$264,"resource15-full34-vs-upstream",'原始计时'!$B$5:$B$264,"K01",'原始计时'!$C$5:$C$264,"optimized",'原始计时'!$D$5:$D$264,2)/1000000/(SUMIFS('原始计时'!$E$5:$E$264,'原始计时'!$A$5:$A$264,"resource15-full34-vs-upstream",'原始计时'!$B$5:$B$264,"K01",'原始计时'!$C$5:$C$264,"original",'原始计时'!$D$5:$D$264,2)/SUMIFS('原始计时'!$F$5:$F$264,'原始计时'!$A$5:$A$264,"resource15-full34-vs-upstream",'原始计时'!$B$5:$B$264,"K01",'原始计时'!$C$5:$C$264,"original",'原始计时'!$D$5:$D$264,2)/1000000)-1</x:f>
        <x:v>0.8018430793895244</x:v>
      </x:c>
      <x:c r="H32" s="12" t="str">
        <x:f>IF(MIN(F32:G32)&gt;0,"两轮均正","含负轮次")</x:f>
        <x:v>两轮均正</x:v>
      </x:c>
      <x:c r="I32" s="11" t="str">
        <x:v>固定验证区间零命中；见独立正例限制</x:v>
      </x:c>
    </x:row>
    <x:row r="33" ht="42" customHeight="1">
      <x:c r="A33" s="2" t="str">
        <x:v>B01</x:v>
      </x:c>
      <x:c r="B33" s="11" t="str">
        <x:v>开局选择 Bones＋三个条件事件结果</x:v>
      </x:c>
      <x:c r="C33" s="13" t="n">
        <x:f>SUMIFS('原始计时'!$E$5:$E$264,'原始计时'!$A$5:$A$264,"resource15-full34-vs-upstream",'原始计时'!$B$5:$B$264,"B01",'原始计时'!$C$5:$C$264,"original")/SUMIFS('原始计时'!$F$5:$F$264,'原始计时'!$A$5:$A$264,"resource15-full34-vs-upstream",'原始计时'!$B$5:$B$264,"B01",'原始计时'!$C$5:$C$264,"original")/1000000</x:f>
        <x:v>1.1025916796207074</x:v>
      </x:c>
      <x:c r="D33" s="13" t="n">
        <x:f>SUMIFS('原始计时'!$E$5:$E$264,'原始计时'!$A$5:$A$264,"resource15-full34-vs-upstream",'原始计时'!$B$5:$B$264,"B01",'原始计时'!$C$5:$C$264,"optimized")/SUMIFS('原始计时'!$F$5:$F$264,'原始计时'!$A$5:$A$264,"resource15-full34-vs-upstream",'原始计时'!$B$5:$B$264,"B01",'原始计时'!$C$5:$C$264,"optimized")/1000000</x:f>
        <x:v>2.262609493291712</x:v>
      </x:c>
      <x:c r="E33" s="14" t="n">
        <x:f>D33/C33-1</x:f>
        <x:v>1.0520828654085723</x:v>
      </x:c>
      <x:c r="F33" s="14" t="n">
        <x:f>SUMIFS('原始计时'!$E$5:$E$264,'原始计时'!$A$5:$A$264,"resource15-full34-vs-upstream",'原始计时'!$B$5:$B$264,"B01",'原始计时'!$C$5:$C$264,"optimized",'原始计时'!$D$5:$D$264,1)/SUMIFS('原始计时'!$F$5:$F$264,'原始计时'!$A$5:$A$264,"resource15-full34-vs-upstream",'原始计时'!$B$5:$B$264,"B01",'原始计时'!$C$5:$C$264,"optimized",'原始计时'!$D$5:$D$264,1)/1000000/(SUMIFS('原始计时'!$E$5:$E$264,'原始计时'!$A$5:$A$264,"resource15-full34-vs-upstream",'原始计时'!$B$5:$B$264,"B01",'原始计时'!$C$5:$C$264,"original",'原始计时'!$D$5:$D$264,1)/SUMIFS('原始计时'!$F$5:$F$264,'原始计时'!$A$5:$A$264,"resource15-full34-vs-upstream",'原始计时'!$B$5:$B$264,"B01",'原始计时'!$C$5:$C$264,"original",'原始计时'!$D$5:$D$264,1)/1000000)-1</x:f>
        <x:v>1.0314926853880966</x:v>
      </x:c>
      <x:c r="G33" s="14" t="n">
        <x:f>SUMIFS('原始计时'!$E$5:$E$264,'原始计时'!$A$5:$A$264,"resource15-full34-vs-upstream",'原始计时'!$B$5:$B$264,"B01",'原始计时'!$C$5:$C$264,"optimized",'原始计时'!$D$5:$D$264,2)/SUMIFS('原始计时'!$F$5:$F$264,'原始计时'!$A$5:$A$264,"resource15-full34-vs-upstream",'原始计时'!$B$5:$B$264,"B01",'原始计时'!$C$5:$C$264,"optimized",'原始计时'!$D$5:$D$264,2)/1000000/(SUMIFS('原始计时'!$E$5:$E$264,'原始计时'!$A$5:$A$264,"resource15-full34-vs-upstream",'原始计时'!$B$5:$B$264,"B01",'原始计时'!$C$5:$C$264,"original",'原始计时'!$D$5:$D$264,2)/SUMIFS('原始计时'!$F$5:$F$264,'原始计时'!$A$5:$A$264,"resource15-full34-vs-upstream",'原始计时'!$B$5:$B$264,"B01",'原始计时'!$C$5:$C$264,"original",'原始计时'!$D$5:$D$264,2)/1000000)-1</x:f>
        <x:v>1.0726613154881575</x:v>
      </x:c>
      <x:c r="H33" s="12" t="str">
        <x:f>IF(MIN(F33:G33)&gt;0,"两轮均正","含负轮次")</x:f>
        <x:v>两轮均正</x:v>
      </x:c>
      <x:c r="I33" s="11" t="str">
        <x:v>有限范围完整结果列表一致</x:v>
      </x:c>
    </x:row>
    <x:row r="34" ht="42" customHeight="1">
      <x:c r="A34" s="2" t="str">
        <x:v>S3</x:v>
      </x:c>
      <x:c r="B34" s="11" t="str">
        <x:v>前三次标准商店：Uncommon 与 Rare 无色槽各自按序指定</x:v>
      </x:c>
      <x:c r="C34" s="13" t="n">
        <x:f>SUMIFS('原始计时'!$E$5:$E$264,'原始计时'!$A$5:$A$264,"resource15-full34-vs-upstream",'原始计时'!$B$5:$B$264,"S3",'原始计时'!$C$5:$C$264,"original")/SUMIFS('原始计时'!$F$5:$F$264,'原始计时'!$A$5:$A$264,"resource15-full34-vs-upstream",'原始计时'!$B$5:$B$264,"S3",'原始计时'!$C$5:$C$264,"original")/1000000</x:f>
        <x:v>3691.431749680844</x:v>
      </x:c>
      <x:c r="D34" s="13" t="n">
        <x:f>SUMIFS('原始计时'!$E$5:$E$264,'原始计时'!$A$5:$A$264,"resource15-full34-vs-upstream",'原始计时'!$B$5:$B$264,"S3",'原始计时'!$C$5:$C$264,"optimized")/SUMIFS('原始计时'!$F$5:$F$264,'原始计时'!$A$5:$A$264,"resource15-full34-vs-upstream",'原始计时'!$B$5:$B$264,"S3",'原始计时'!$C$5:$C$264,"optimized")/1000000</x:f>
        <x:v>10066.016203925137</x:v>
      </x:c>
      <x:c r="E34" s="14" t="n">
        <x:f>D34/C34-1</x:f>
        <x:v>1.7268596269714132</x:v>
      </x:c>
      <x:c r="F34" s="14" t="n">
        <x:f>SUMIFS('原始计时'!$E$5:$E$264,'原始计时'!$A$5:$A$264,"resource15-full34-vs-upstream",'原始计时'!$B$5:$B$264,"S3",'原始计时'!$C$5:$C$264,"optimized",'原始计时'!$D$5:$D$264,1)/SUMIFS('原始计时'!$F$5:$F$264,'原始计时'!$A$5:$A$264,"resource15-full34-vs-upstream",'原始计时'!$B$5:$B$264,"S3",'原始计时'!$C$5:$C$264,"optimized",'原始计时'!$D$5:$D$264,1)/1000000/(SUMIFS('原始计时'!$E$5:$E$264,'原始计时'!$A$5:$A$264,"resource15-full34-vs-upstream",'原始计时'!$B$5:$B$264,"S3",'原始计时'!$C$5:$C$264,"original",'原始计时'!$D$5:$D$264,1)/SUMIFS('原始计时'!$F$5:$F$264,'原始计时'!$A$5:$A$264,"resource15-full34-vs-upstream",'原始计时'!$B$5:$B$264,"S3",'原始计时'!$C$5:$C$264,"original",'原始计时'!$D$5:$D$264,1)/1000000)-1</x:f>
        <x:v>1.6438015720126367</x:v>
      </x:c>
      <x:c r="G34" s="14" t="n">
        <x:f>SUMIFS('原始计时'!$E$5:$E$264,'原始计时'!$A$5:$A$264,"resource15-full34-vs-upstream",'原始计时'!$B$5:$B$264,"S3",'原始计时'!$C$5:$C$264,"optimized",'原始计时'!$D$5:$D$264,2)/SUMIFS('原始计时'!$F$5:$F$264,'原始计时'!$A$5:$A$264,"resource15-full34-vs-upstream",'原始计时'!$B$5:$B$264,"S3",'原始计时'!$C$5:$C$264,"optimized",'原始计时'!$D$5:$D$264,2)/1000000/(SUMIFS('原始计时'!$E$5:$E$264,'原始计时'!$A$5:$A$264,"resource15-full34-vs-upstream",'原始计时'!$B$5:$B$264,"S3",'原始计时'!$C$5:$C$264,"original",'原始计时'!$D$5:$D$264,2)/SUMIFS('原始计时'!$F$5:$F$264,'原始计时'!$A$5:$A$264,"resource15-full34-vs-upstream",'原始计时'!$B$5:$B$264,"S3",'原始计时'!$C$5:$C$264,"original",'原始计时'!$D$5:$D$264,2)/1000000)-1</x:f>
        <x:v>1.8134700122844651</x:v>
      </x:c>
      <x:c r="H34" s="12" t="str">
        <x:f>IF(MIN(F34:G34)&gt;0,"两轮均正","含负轮次")</x:f>
        <x:v>两轮均正</x:v>
      </x:c>
      <x:c r="I34" s="11" t="str">
        <x:v>有限范围完整结果列表一致</x:v>
      </x:c>
    </x:row>
    <x:row r="35" ht="42" customHeight="1">
      <x:c r="A35" s="2" t="str">
        <x:v>S5</x:v>
      </x:c>
      <x:c r="B35" s="11" t="str">
        <x:v>前五次标准商店：Rare 无色槽按序指定</x:v>
      </x:c>
      <x:c r="C35" s="13" t="n">
        <x:f>SUMIFS('原始计时'!$E$5:$E$264,'原始计时'!$A$5:$A$264,"resource15-full34-vs-upstream",'原始计时'!$B$5:$B$264,"S5",'原始计时'!$C$5:$C$264,"original")/SUMIFS('原始计时'!$F$5:$F$264,'原始计时'!$A$5:$A$264,"resource15-full34-vs-upstream",'原始计时'!$B$5:$B$264,"S5",'原始计时'!$C$5:$C$264,"original")/1000000</x:f>
        <x:v>1542.3489379800064</x:v>
      </x:c>
      <x:c r="D35" s="13" t="n">
        <x:f>SUMIFS('原始计时'!$E$5:$E$264,'原始计时'!$A$5:$A$264,"resource15-full34-vs-upstream",'原始计时'!$B$5:$B$264,"S5",'原始计时'!$C$5:$C$264,"optimized")/SUMIFS('原始计时'!$F$5:$F$264,'原始计时'!$A$5:$A$264,"resource15-full34-vs-upstream",'原始计时'!$B$5:$B$264,"S5",'原始计时'!$C$5:$C$264,"optimized")/1000000</x:f>
        <x:v>6006.639829809734</x:v>
      </x:c>
      <x:c r="E35" s="14" t="n">
        <x:f>D35/C35-1</x:f>
        <x:v>2.8944752914840066</x:v>
      </x:c>
      <x:c r="F35" s="14" t="n">
        <x:f>SUMIFS('原始计时'!$E$5:$E$264,'原始计时'!$A$5:$A$264,"resource15-full34-vs-upstream",'原始计时'!$B$5:$B$264,"S5",'原始计时'!$C$5:$C$264,"optimized",'原始计时'!$D$5:$D$264,1)/SUMIFS('原始计时'!$F$5:$F$264,'原始计时'!$A$5:$A$264,"resource15-full34-vs-upstream",'原始计时'!$B$5:$B$264,"S5",'原始计时'!$C$5:$C$264,"optimized",'原始计时'!$D$5:$D$264,1)/1000000/(SUMIFS('原始计时'!$E$5:$E$264,'原始计时'!$A$5:$A$264,"resource15-full34-vs-upstream",'原始计时'!$B$5:$B$264,"S5",'原始计时'!$C$5:$C$264,"original",'原始计时'!$D$5:$D$264,1)/SUMIFS('原始计时'!$F$5:$F$264,'原始计时'!$A$5:$A$264,"resource15-full34-vs-upstream",'原始计时'!$B$5:$B$264,"S5",'原始计时'!$C$5:$C$264,"original",'原始计时'!$D$5:$D$264,1)/1000000)-1</x:f>
        <x:v>2.882783666255843</x:v>
      </x:c>
      <x:c r="G35" s="14" t="n">
        <x:f>SUMIFS('原始计时'!$E$5:$E$264,'原始计时'!$A$5:$A$264,"resource15-full34-vs-upstream",'原始计时'!$B$5:$B$264,"S5",'原始计时'!$C$5:$C$264,"optimized",'原始计时'!$D$5:$D$264,2)/SUMIFS('原始计时'!$F$5:$F$264,'原始计时'!$A$5:$A$264,"resource15-full34-vs-upstream",'原始计时'!$B$5:$B$264,"S5",'原始计时'!$C$5:$C$264,"optimized",'原始计时'!$D$5:$D$264,2)/1000000/(SUMIFS('原始计时'!$E$5:$E$264,'原始计时'!$A$5:$A$264,"resource15-full34-vs-upstream",'原始计时'!$B$5:$B$264,"S5",'原始计时'!$C$5:$C$264,"original",'原始计时'!$D$5:$D$264,2)/SUMIFS('原始计时'!$F$5:$F$264,'原始计时'!$A$5:$A$264,"resource15-full34-vs-upstream",'原始计时'!$B$5:$B$264,"S5",'原始计时'!$C$5:$C$264,"original",'原始计时'!$D$5:$D$264,2)/1000000)-1</x:f>
        <x:v>2.906240881109777</x:v>
      </x:c>
      <x:c r="H35" s="12" t="str">
        <x:f>IF(MIN(F35:G35)&gt;0,"两轮均正","含负轮次")</x:f>
        <x:v>两轮均正</x:v>
      </x:c>
      <x:c r="I35" s="11" t="str">
        <x:v>有限范围完整结果列表一致</x:v>
      </x:c>
    </x:row>
    <x:row r="36" ht="42" customHeight="1">
      <x:c r="A36" s="2" t="str">
        <x:v>SAA</x:v>
      </x:c>
      <x:c r="B36" s="11" t="str">
        <x:v>前五次标准商店：逐店固定 Rare 无色槽（与 S5 同条件）</x:v>
      </x:c>
      <x:c r="C36" s="13" t="n">
        <x:f>SUMIFS('原始计时'!$E$5:$E$264,'原始计时'!$A$5:$A$264,"resource15-full34-vs-upstream",'原始计时'!$B$5:$B$264,"SAA",'原始计时'!$C$5:$C$264,"original")/SUMIFS('原始计时'!$F$5:$F$264,'原始计时'!$A$5:$A$264,"resource15-full34-vs-upstream",'原始计时'!$B$5:$B$264,"SAA",'原始计时'!$C$5:$C$264,"original")/1000000</x:f>
        <x:v>1965.3595596544048</x:v>
      </x:c>
      <x:c r="D36" s="13" t="n">
        <x:f>SUMIFS('原始计时'!$E$5:$E$264,'原始计时'!$A$5:$A$264,"resource15-full34-vs-upstream",'原始计时'!$B$5:$B$264,"SAA",'原始计时'!$C$5:$C$264,"optimized")/SUMIFS('原始计时'!$F$5:$F$264,'原始计时'!$A$5:$A$264,"resource15-full34-vs-upstream",'原始计时'!$B$5:$B$264,"SAA",'原始计时'!$C$5:$C$264,"optimized")/1000000</x:f>
        <x:v>6022.3626611029</x:v>
      </x:c>
      <x:c r="E36" s="14" t="n">
        <x:f>D36/C36-1</x:f>
        <x:v>2.0642549000865227</x:v>
      </x:c>
      <x:c r="F36" s="14" t="n">
        <x:f>SUMIFS('原始计时'!$E$5:$E$264,'原始计时'!$A$5:$A$264,"resource15-full34-vs-upstream",'原始计时'!$B$5:$B$264,"SAA",'原始计时'!$C$5:$C$264,"optimized",'原始计时'!$D$5:$D$264,1)/SUMIFS('原始计时'!$F$5:$F$264,'原始计时'!$A$5:$A$264,"resource15-full34-vs-upstream",'原始计时'!$B$5:$B$264,"SAA",'原始计时'!$C$5:$C$264,"optimized",'原始计时'!$D$5:$D$264,1)/1000000/(SUMIFS('原始计时'!$E$5:$E$264,'原始计时'!$A$5:$A$264,"resource15-full34-vs-upstream",'原始计时'!$B$5:$B$264,"SAA",'原始计时'!$C$5:$C$264,"original",'原始计时'!$D$5:$D$264,1)/SUMIFS('原始计时'!$F$5:$F$264,'原始计时'!$A$5:$A$264,"resource15-full34-vs-upstream",'原始计时'!$B$5:$B$264,"SAA",'原始计时'!$C$5:$C$264,"original",'原始计时'!$D$5:$D$264,1)/1000000)-1</x:f>
        <x:v>2.1456425282547062</x:v>
      </x:c>
      <x:c r="G36" s="14" t="n">
        <x:f>SUMIFS('原始计时'!$E$5:$E$264,'原始计时'!$A$5:$A$264,"resource15-full34-vs-upstream",'原始计时'!$B$5:$B$264,"SAA",'原始计时'!$C$5:$C$264,"optimized",'原始计时'!$D$5:$D$264,2)/SUMIFS('原始计时'!$F$5:$F$264,'原始计时'!$A$5:$A$264,"resource15-full34-vs-upstream",'原始计时'!$B$5:$B$264,"SAA",'原始计时'!$C$5:$C$264,"optimized",'原始计时'!$D$5:$D$264,2)/1000000/(SUMIFS('原始计时'!$E$5:$E$264,'原始计时'!$A$5:$A$264,"resource15-full34-vs-upstream",'原始计时'!$B$5:$B$264,"SAA",'原始计时'!$C$5:$C$264,"original",'原始计时'!$D$5:$D$264,2)/SUMIFS('原始计时'!$F$5:$F$264,'原始计时'!$A$5:$A$264,"resource15-full34-vs-upstream",'原始计时'!$B$5:$B$264,"SAA",'原始计时'!$C$5:$C$264,"original",'原始计时'!$D$5:$D$264,2)/1000000)-1</x:f>
        <x:v>1.9827051881254674</x:v>
      </x:c>
      <x:c r="H36" s="12" t="str">
        <x:f>IF(MIN(F36:G36)&gt;0,"两轮均正","含负轮次")</x:f>
        <x:v>两轮均正</x:v>
      </x:c>
      <x:c r="I36" s="11" t="str">
        <x:v>有限范围完整结果列表一致</x:v>
      </x:c>
    </x:row>
    <x:row r="37" ht="42" customHeight="1">
      <x:c r="A37" s="2" t="str">
        <x:v>C01</x:v>
      </x:c>
      <x:c r="B37" s="11" t="str">
        <x:v>CPU Only：Ironclad 完整 Bones 万花筒与小胶囊开局＋稀有首项＋首战供选</x:v>
      </x:c>
      <x:c r="C37" s="13" t="n">
        <x:f>SUMIFS('原始计时'!$E$5:$E$264,'原始计时'!$A$5:$A$264,"resource15-full34-vs-upstream",'原始计时'!$B$5:$B$264,"C01",'原始计时'!$C$5:$C$264,"original")/SUMIFS('原始计时'!$F$5:$F$264,'原始计时'!$A$5:$A$264,"resource15-full34-vs-upstream",'原始计时'!$B$5:$B$264,"C01",'原始计时'!$C$5:$C$264,"original")/1000000</x:f>
        <x:v>47.02087876661066</x:v>
      </x:c>
      <x:c r="D37" s="13" t="n">
        <x:f>SUMIFS('原始计时'!$E$5:$E$264,'原始计时'!$A$5:$A$264,"resource15-full34-vs-upstream",'原始计时'!$B$5:$B$264,"C01",'原始计时'!$C$5:$C$264,"optimized")/SUMIFS('原始计时'!$F$5:$F$264,'原始计时'!$A$5:$A$264,"resource15-full34-vs-upstream",'原始计时'!$B$5:$B$264,"C01",'原始计时'!$C$5:$C$264,"optimized")/1000000</x:f>
        <x:v>329.9413917110643</x:v>
      </x:c>
      <x:c r="E37" s="14" t="n">
        <x:f>D37/C37-1</x:f>
        <x:v>6.016912494314215</x:v>
      </x:c>
      <x:c r="F37" s="14" t="n">
        <x:f>SUMIFS('原始计时'!$E$5:$E$264,'原始计时'!$A$5:$A$264,"resource15-full34-vs-upstream",'原始计时'!$B$5:$B$264,"C01",'原始计时'!$C$5:$C$264,"optimized",'原始计时'!$D$5:$D$264,1)/SUMIFS('原始计时'!$F$5:$F$264,'原始计时'!$A$5:$A$264,"resource15-full34-vs-upstream",'原始计时'!$B$5:$B$264,"C01",'原始计时'!$C$5:$C$264,"optimized",'原始计时'!$D$5:$D$264,1)/1000000/(SUMIFS('原始计时'!$E$5:$E$264,'原始计时'!$A$5:$A$264,"resource15-full34-vs-upstream",'原始计时'!$B$5:$B$264,"C01",'原始计时'!$C$5:$C$264,"original",'原始计时'!$D$5:$D$264,1)/SUMIFS('原始计时'!$F$5:$F$264,'原始计时'!$A$5:$A$264,"resource15-full34-vs-upstream",'原始计时'!$B$5:$B$264,"C01",'原始计时'!$C$5:$C$264,"original",'原始计时'!$D$5:$D$264,1)/1000000)-1</x:f>
        <x:v>5.997861119269996</x:v>
      </x:c>
      <x:c r="G37" s="14" t="n">
        <x:f>SUMIFS('原始计时'!$E$5:$E$264,'原始计时'!$A$5:$A$264,"resource15-full34-vs-upstream",'原始计时'!$B$5:$B$264,"C01",'原始计时'!$C$5:$C$264,"optimized",'原始计时'!$D$5:$D$264,2)/SUMIFS('原始计时'!$F$5:$F$264,'原始计时'!$A$5:$A$264,"resource15-full34-vs-upstream",'原始计时'!$B$5:$B$264,"C01",'原始计时'!$C$5:$C$264,"optimized",'原始计时'!$D$5:$D$264,2)/1000000/(SUMIFS('原始计时'!$E$5:$E$264,'原始计时'!$A$5:$A$264,"resource15-full34-vs-upstream",'原始计时'!$B$5:$B$264,"C01",'原始计时'!$C$5:$C$264,"original",'原始计时'!$D$5:$D$264,2)/SUMIFS('原始计时'!$F$5:$F$264,'原始计时'!$A$5:$A$264,"resource15-full34-vs-upstream",'原始计时'!$B$5:$B$264,"C01",'原始计时'!$C$5:$C$264,"original",'原始计时'!$D$5:$D$264,2)/1000000)-1</x:f>
        <x:v>6.035556254467244</x:v>
      </x:c>
      <x:c r="H37" s="12" t="str">
        <x:f>IF(MIN(F37:G37)&gt;0,"两轮均正","含负轮次")</x:f>
        <x:v>两轮均正</x:v>
      </x:c>
      <x:c r="I37" s="11" t="str">
        <x:v>固定验证区间零命中；见独立正例限制</x:v>
      </x:c>
    </x:row>
    <x:row r="38" ht="42" customHeight="1">
      <x:c r="A38" s="2" t="str">
        <x:v>C02</x:v>
      </x:c>
      <x:c r="B38" s="11" t="str">
        <x:v>CPU Only：Silent 完整 Bones 万花筒与叶药开局＋稀有首项</x:v>
      </x:c>
      <x:c r="C38" s="13" t="n">
        <x:f>SUMIFS('原始计时'!$E$5:$E$264,'原始计时'!$A$5:$A$264,"resource15-full34-vs-upstream",'原始计时'!$B$5:$B$264,"C02",'原始计时'!$C$5:$C$264,"original")/SUMIFS('原始计时'!$F$5:$F$264,'原始计时'!$A$5:$A$264,"resource15-full34-vs-upstream",'原始计时'!$B$5:$B$264,"C02",'原始计时'!$C$5:$C$264,"original")/1000000</x:f>
        <x:v>48.438486076721254</x:v>
      </x:c>
      <x:c r="D38" s="13" t="n">
        <x:f>SUMIFS('原始计时'!$E$5:$E$264,'原始计时'!$A$5:$A$264,"resource15-full34-vs-upstream",'原始计时'!$B$5:$B$264,"C02",'原始计时'!$C$5:$C$264,"optimized")/SUMIFS('原始计时'!$F$5:$F$264,'原始计时'!$A$5:$A$264,"resource15-full34-vs-upstream",'原始计时'!$B$5:$B$264,"C02",'原始计时'!$C$5:$C$264,"optimized")/1000000</x:f>
        <x:v>398.6454342276181</x:v>
      </x:c>
      <x:c r="E38" s="14" t="n">
        <x:f>D38/C38-1</x:f>
        <x:v>7.229931744691761</x:v>
      </x:c>
      <x:c r="F38" s="14" t="n">
        <x:f>SUMIFS('原始计时'!$E$5:$E$264,'原始计时'!$A$5:$A$264,"resource15-full34-vs-upstream",'原始计时'!$B$5:$B$264,"C02",'原始计时'!$C$5:$C$264,"optimized",'原始计时'!$D$5:$D$264,1)/SUMIFS('原始计时'!$F$5:$F$264,'原始计时'!$A$5:$A$264,"resource15-full34-vs-upstream",'原始计时'!$B$5:$B$264,"C02",'原始计时'!$C$5:$C$264,"optimized",'原始计时'!$D$5:$D$264,1)/1000000/(SUMIFS('原始计时'!$E$5:$E$264,'原始计时'!$A$5:$A$264,"resource15-full34-vs-upstream",'原始计时'!$B$5:$B$264,"C02",'原始计时'!$C$5:$C$264,"original",'原始计时'!$D$5:$D$264,1)/SUMIFS('原始计时'!$F$5:$F$264,'原始计时'!$A$5:$A$264,"resource15-full34-vs-upstream",'原始计时'!$B$5:$B$264,"C02",'原始计时'!$C$5:$C$264,"original",'原始计时'!$D$5:$D$264,1)/1000000)-1</x:f>
        <x:v>7.241894600394833</x:v>
      </x:c>
      <x:c r="G38" s="14" t="n">
        <x:f>SUMIFS('原始计时'!$E$5:$E$264,'原始计时'!$A$5:$A$264,"resource15-full34-vs-upstream",'原始计时'!$B$5:$B$264,"C02",'原始计时'!$C$5:$C$264,"optimized",'原始计时'!$D$5:$D$264,2)/SUMIFS('原始计时'!$F$5:$F$264,'原始计时'!$A$5:$A$264,"resource15-full34-vs-upstream",'原始计时'!$B$5:$B$264,"C02",'原始计时'!$C$5:$C$264,"optimized",'原始计时'!$D$5:$D$264,2)/1000000/(SUMIFS('原始计时'!$E$5:$E$264,'原始计时'!$A$5:$A$264,"resource15-full34-vs-upstream",'原始计时'!$B$5:$B$264,"C02",'原始计时'!$C$5:$C$264,"original",'原始计时'!$D$5:$D$264,2)/SUMIFS('原始计时'!$F$5:$F$264,'原始计时'!$A$5:$A$264,"resource15-full34-vs-upstream",'原始计时'!$B$5:$B$264,"C02",'原始计时'!$C$5:$C$264,"original",'原始计时'!$D$5:$D$264,2)/1000000)-1</x:f>
        <x:v>7.218187799575677</x:v>
      </x:c>
      <x:c r="H38" s="12" t="str">
        <x:f>IF(MIN(F38:G38)&gt;0,"两轮均正","含负轮次")</x:f>
        <x:v>两轮均正</x:v>
      </x:c>
      <x:c r="I38" s="11" t="str">
        <x:v>固定验证区间零命中；见独立正例限制</x:v>
      </x:c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conditionalFormatting sqref="E5:G38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2" hidden="0" customWidth="1"/>
    <x:col min="2" max="2" width="14" hidden="0" customWidth="1"/>
    <x:col min="3" max="3" width="26" hidden="0" customWidth="1"/>
    <x:col min="4" max="4" width="27" hidden="0" customWidth="1"/>
    <x:col min="5" max="5" width="22" hidden="0" customWidth="1"/>
    <x:col min="6" max="6" width="22" hidden="0" customWidth="1"/>
    <x:col min="7" max="7" width="19" hidden="0" customWidth="1"/>
    <x:col min="8" max="8" width="21" hidden="0" customWidth="1"/>
    <x:col min="9" max="9" width="18" hidden="0" customWidth="1"/>
    <x:col min="10" max="10" width="18" hidden="0" customWidth="1"/>
    <x:col min="11" max="11" width="17" hidden="0" customWidth="1"/>
    <x:col min="12" max="12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后续复测、版本增量与诊断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各行只在所标基线内比较，不能相加。帧率诊断、跨场次撤回比较均不是正式版对原版增益。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5" customHeight="1">
      <x:c r="A4" s="8" t="str">
        <x:v>套件与状态</x:v>
      </x:c>
      <x:c r="B4" s="8" t="str">
        <x:v>场景</x:v>
      </x:c>
      <x:c r="C4" s="8" t="str">
        <x:v>对照版本/方式</x:v>
      </x:c>
      <x:c r="D4" s="8" t="str">
        <x:v>候选版本/方式</x:v>
      </x:c>
      <x:c r="E4" s="8" t="str">
        <x:v>对照合并均速
百万种子/秒</x:v>
      </x:c>
      <x:c r="F4" s="8" t="str">
        <x:v>候选合并均速
百万种子/秒</x:v>
      </x:c>
      <x:c r="G4" s="8" t="str">
        <x:v>合并吞吐提升</x:v>
      </x:c>
      <x:c r="H4" s="8" t="str">
        <x:v>算术均速比提升</x:v>
      </x:c>
      <x:c r="I4" s="8" t="str">
        <x:v>第1轮提升</x:v>
      </x:c>
      <x:c r="J4" s="8" t="str">
        <x:v>第2轮提升</x:v>
      </x:c>
      <x:c r="K4" s="8" t="str">
        <x:v>采用状态</x:v>
      </x:c>
      <x:c r="L4" s="8" t="str">
        <x:v>边界说明</x:v>
      </x:c>
    </x:row>
    <x:row r="5" ht="44" customHeight="1">
      <x:c r="A5" s="11" t="str">
        <x:v>15对原版：复测A</x:v>
      </x:c>
      <x:c r="B5" s="11" t="str">
        <x:v>U01</x:v>
      </x:c>
      <x:c r="C5" s="11" t="str">
        <x:v>original</x:v>
      </x:c>
      <x:c r="D5" s="11" t="str">
        <x:v>optimized</x:v>
      </x:c>
      <x:c r="E5" s="13" t="n">
        <x:f>SUMIFS('原始计时'!$E$5:$E$264,'原始计时'!$A$5:$A$264,"resource15-variance-A-context6",'原始计时'!$B$5:$B$264,"U01",'原始计时'!$C$5:$C$264,"original")/SUMIFS('原始计时'!$F$5:$F$264,'原始计时'!$A$5:$A$264,"resource15-variance-A-context6",'原始计时'!$B$5:$B$264,"U01",'原始计时'!$C$5:$C$264,"original")/1000000</x:f>
        <x:v>16219.948054919643</x:v>
      </x:c>
      <x:c r="F5" s="13" t="n">
        <x:f>SUMIFS('原始计时'!$E$5:$E$264,'原始计时'!$A$5:$A$264,"resource15-variance-A-context6",'原始计时'!$B$5:$B$264,"U01",'原始计时'!$C$5:$C$264,"optimized")/SUMIFS('原始计时'!$F$5:$F$264,'原始计时'!$A$5:$A$264,"resource15-variance-A-context6",'原始计时'!$B$5:$B$264,"U01",'原始计时'!$C$5:$C$264,"optimized")/1000000</x:f>
        <x:v>36112.21040723221</x:v>
      </x:c>
      <x:c r="G5" s="14" t="n">
        <x:f>F5/E5-1</x:f>
        <x:v>1.2264072785534652</x:v>
      </x:c>
      <x:c r="H5" s="14" t="n">
        <x:f>AVERAGEIFS('原始计时'!$G$5:$G$264,'原始计时'!$A$5:$A$264,"resource15-variance-A-context6",'原始计时'!$B$5:$B$264,"U01",'原始计时'!$C$5:$C$264,"optimized")/1000000/(AVERAGEIFS('原始计时'!$G$5:$G$264,'原始计时'!$A$5:$A$264,"resource15-variance-A-context6",'原始计时'!$B$5:$B$264,"U01",'原始计时'!$C$5:$C$264,"original")/1000000)-1</x:f>
        <x:v>1.226406535277576</x:v>
      </x:c>
      <x:c r="I5" s="14" t="n">
        <x:f>SUMIFS('原始计时'!$E$5:$E$264,'原始计时'!$A$5:$A$264,"resource15-variance-A-context6",'原始计时'!$B$5:$B$264,"U01",'原始计时'!$C$5:$C$264,"optimized",'原始计时'!$D$5:$D$264,1)/SUMIFS('原始计时'!$F$5:$F$264,'原始计时'!$A$5:$A$264,"resource15-variance-A-context6",'原始计时'!$B$5:$B$264,"U01",'原始计时'!$C$5:$C$264,"optimized",'原始计时'!$D$5:$D$264,1)/1000000/(SUMIFS('原始计时'!$E$5:$E$264,'原始计时'!$A$5:$A$264,"resource15-variance-A-context6",'原始计时'!$B$5:$B$264,"U01",'原始计时'!$C$5:$C$264,"original",'原始计时'!$D$5:$D$264,1)/SUMIFS('原始计时'!$F$5:$F$264,'原始计时'!$A$5:$A$264,"resource15-variance-A-context6",'原始计时'!$B$5:$B$264,"U01",'原始计时'!$C$5:$C$264,"original",'原始计时'!$D$5:$D$264,1)/1000000)-1</x:f>
        <x:v>1.2603695025387358</x:v>
      </x:c>
      <x:c r="J5" s="14" t="n">
        <x:f>SUMIFS('原始计时'!$E$5:$E$264,'原始计时'!$A$5:$A$264,"resource15-variance-A-context6",'原始计时'!$B$5:$B$264,"U01",'原始计时'!$C$5:$C$264,"optimized",'原始计时'!$D$5:$D$264,2)/SUMIFS('原始计时'!$F$5:$F$264,'原始计时'!$A$5:$A$264,"resource15-variance-A-context6",'原始计时'!$B$5:$B$264,"U01",'原始计时'!$C$5:$C$264,"optimized",'原始计时'!$D$5:$D$264,2)/1000000/(SUMIFS('原始计时'!$E$5:$E$264,'原始计时'!$A$5:$A$264,"resource15-variance-A-context6",'原始计时'!$B$5:$B$264,"U01",'原始计时'!$C$5:$C$264,"original",'原始计时'!$D$5:$D$264,2)/SUMIFS('原始计时'!$F$5:$F$264,'原始计时'!$A$5:$A$264,"resource15-variance-A-context6",'原始计时'!$B$5:$B$264,"U01",'原始计时'!$C$5:$C$264,"original",'原始计时'!$D$5:$D$264,2)/1000000)-1</x:f>
        <x:v>1.193127456721415</x:v>
      </x:c>
      <x:c r="K5" s="11" t="str">
        <x:v>历史测量</x:v>
      </x:c>
      <x:c r="L5" s="11" t="str">
        <x:v>与旧全量为独立场次；不合并</x:v>
      </x:c>
    </x:row>
    <x:row r="6" ht="44" customHeight="1">
      <x:c r="A6" s="11" t="str">
        <x:v>15对原版：复测A</x:v>
      </x:c>
      <x:c r="B6" s="11" t="str">
        <x:v>F02</x:v>
      </x:c>
      <x:c r="C6" s="11" t="str">
        <x:v>original</x:v>
      </x:c>
      <x:c r="D6" s="11" t="str">
        <x:v>optimized</x:v>
      </x:c>
      <x:c r="E6" s="13" t="n">
        <x:f>SUMIFS('原始计时'!$E$5:$E$264,'原始计时'!$A$5:$A$264,"resource15-variance-A-context6",'原始计时'!$B$5:$B$264,"F02",'原始计时'!$C$5:$C$264,"original")/SUMIFS('原始计时'!$F$5:$F$264,'原始计时'!$A$5:$A$264,"resource15-variance-A-context6",'原始计时'!$B$5:$B$264,"F02",'原始计时'!$C$5:$C$264,"original")/1000000</x:f>
        <x:v>0.18090522629748126</x:v>
      </x:c>
      <x:c r="F6" s="13" t="n">
        <x:f>SUMIFS('原始计时'!$E$5:$E$264,'原始计时'!$A$5:$A$264,"resource15-variance-A-context6",'原始计时'!$B$5:$B$264,"F02",'原始计时'!$C$5:$C$264,"optimized")/SUMIFS('原始计时'!$F$5:$F$264,'原始计时'!$A$5:$A$264,"resource15-variance-A-context6",'原始计时'!$B$5:$B$264,"F02",'原始计时'!$C$5:$C$264,"optimized")/1000000</x:f>
        <x:v>0.17185556992870954</x:v>
      </x:c>
      <x:c r="G6" s="14" t="n">
        <x:f>F6/E6-1</x:f>
        <x:v>-0.05002429478676551</x:v>
      </x:c>
      <x:c r="H6" s="14" t="n">
        <x:f>AVERAGEIFS('原始计时'!$G$5:$G$264,'原始计时'!$A$5:$A$264,"resource15-variance-A-context6",'原始计时'!$B$5:$B$264,"F02",'原始计时'!$C$5:$C$264,"optimized")/1000000/(AVERAGEIFS('原始计时'!$G$5:$G$264,'原始计时'!$A$5:$A$264,"resource15-variance-A-context6",'原始计时'!$B$5:$B$264,"F02",'原始计时'!$C$5:$C$264,"original")/1000000)-1</x:f>
        <x:v>-0.05001354070558606</x:v>
      </x:c>
      <x:c r="I6" s="14" t="n">
        <x:f>SUMIFS('原始计时'!$E$5:$E$264,'原始计时'!$A$5:$A$264,"resource15-variance-A-context6",'原始计时'!$B$5:$B$264,"F02",'原始计时'!$C$5:$C$264,"optimized",'原始计时'!$D$5:$D$264,1)/SUMIFS('原始计时'!$F$5:$F$264,'原始计时'!$A$5:$A$264,"resource15-variance-A-context6",'原始计时'!$B$5:$B$264,"F02",'原始计时'!$C$5:$C$264,"optimized",'原始计时'!$D$5:$D$264,1)/1000000/(SUMIFS('原始计时'!$E$5:$E$264,'原始计时'!$A$5:$A$264,"resource15-variance-A-context6",'原始计时'!$B$5:$B$264,"F02",'原始计时'!$C$5:$C$264,"original",'原始计时'!$D$5:$D$264,1)/SUMIFS('原始计时'!$F$5:$F$264,'原始计时'!$A$5:$A$264,"resource15-variance-A-context6",'原始计时'!$B$5:$B$264,"F02",'原始计时'!$C$5:$C$264,"original",'原始计时'!$D$5:$D$264,1)/1000000)-1</x:f>
        <x:v>-0.03165590132670326</x:v>
      </x:c>
      <x:c r="J6" s="14" t="n">
        <x:f>SUMIFS('原始计时'!$E$5:$E$264,'原始计时'!$A$5:$A$264,"resource15-variance-A-context6",'原始计时'!$B$5:$B$264,"F02",'原始计时'!$C$5:$C$264,"optimized",'原始计时'!$D$5:$D$264,2)/SUMIFS('原始计时'!$F$5:$F$264,'原始计时'!$A$5:$A$264,"resource15-variance-A-context6",'原始计时'!$B$5:$B$264,"F02",'原始计时'!$C$5:$C$264,"optimized",'原始计时'!$D$5:$D$264,2)/1000000/(SUMIFS('原始计时'!$E$5:$E$264,'原始计时'!$A$5:$A$264,"resource15-variance-A-context6",'原始计时'!$B$5:$B$264,"F02",'原始计时'!$C$5:$C$264,"original",'原始计时'!$D$5:$D$264,2)/SUMIFS('原始计时'!$F$5:$F$264,'原始计时'!$A$5:$A$264,"resource15-variance-A-context6",'原始计时'!$B$5:$B$264,"F02",'原始计时'!$C$5:$C$264,"original",'原始计时'!$D$5:$D$264,2)/1000000)-1</x:f>
        <x:v>-0.06774405918288984</x:v>
      </x:c>
      <x:c r="K6" s="11" t="str">
        <x:v>历史测量</x:v>
      </x:c>
      <x:c r="L6" s="11" t="str">
        <x:v>与旧全量为独立场次；不合并</x:v>
      </x:c>
    </x:row>
    <x:row r="7" ht="44" customHeight="1">
      <x:c r="A7" s="11" t="str">
        <x:v>15对原版：复测A</x:v>
      </x:c>
      <x:c r="B7" s="11" t="str">
        <x:v>F03</x:v>
      </x:c>
      <x:c r="C7" s="11" t="str">
        <x:v>original</x:v>
      </x:c>
      <x:c r="D7" s="11" t="str">
        <x:v>optimized</x:v>
      </x:c>
      <x:c r="E7" s="13" t="n">
        <x:f>SUMIFS('原始计时'!$E$5:$E$264,'原始计时'!$A$5:$A$264,"resource15-variance-A-context6",'原始计时'!$B$5:$B$264,"F03",'原始计时'!$C$5:$C$264,"original")/SUMIFS('原始计时'!$F$5:$F$264,'原始计时'!$A$5:$A$264,"resource15-variance-A-context6",'原始计时'!$B$5:$B$264,"F03",'原始计时'!$C$5:$C$264,"original")/1000000</x:f>
        <x:v>1.9531709219962654</x:v>
      </x:c>
      <x:c r="F7" s="13" t="n">
        <x:f>SUMIFS('原始计时'!$E$5:$E$264,'原始计时'!$A$5:$A$264,"resource15-variance-A-context6",'原始计时'!$B$5:$B$264,"F03",'原始计时'!$C$5:$C$264,"optimized")/SUMIFS('原始计时'!$F$5:$F$264,'原始计时'!$A$5:$A$264,"resource15-variance-A-context6",'原始计时'!$B$5:$B$264,"F03",'原始计时'!$C$5:$C$264,"optimized")/1000000</x:f>
        <x:v>1.9513430121127684</x:v>
      </x:c>
      <x:c r="G7" s="14" t="n">
        <x:f>F7/E7-1</x:f>
        <x:v>-0.0009358678561672829</x:v>
      </x:c>
      <x:c r="H7" s="14" t="n">
        <x:f>AVERAGEIFS('原始计时'!$G$5:$G$264,'原始计时'!$A$5:$A$264,"resource15-variance-A-context6",'原始计时'!$B$5:$B$264,"F03",'原始计时'!$C$5:$C$264,"optimized")/1000000/(AVERAGEIFS('原始计时'!$G$5:$G$264,'原始计时'!$A$5:$A$264,"resource15-variance-A-context6",'原始计时'!$B$5:$B$264,"F03",'原始计时'!$C$5:$C$264,"original")/1000000)-1</x:f>
        <x:v>-0.0009352306330036031</x:v>
      </x:c>
      <x:c r="I7" s="14" t="n">
        <x:f>SUMIFS('原始计时'!$E$5:$E$264,'原始计时'!$A$5:$A$264,"resource15-variance-A-context6",'原始计时'!$B$5:$B$264,"F03",'原始计时'!$C$5:$C$264,"optimized",'原始计时'!$D$5:$D$264,1)/SUMIFS('原始计时'!$F$5:$F$264,'原始计时'!$A$5:$A$264,"resource15-variance-A-context6",'原始计时'!$B$5:$B$264,"F03",'原始计时'!$C$5:$C$264,"optimized",'原始计时'!$D$5:$D$264,1)/1000000/(SUMIFS('原始计时'!$E$5:$E$264,'原始计时'!$A$5:$A$264,"resource15-variance-A-context6",'原始计时'!$B$5:$B$264,"F03",'原始计时'!$C$5:$C$264,"original",'原始计时'!$D$5:$D$264,1)/SUMIFS('原始计时'!$F$5:$F$264,'原始计时'!$A$5:$A$264,"resource15-variance-A-context6",'原始计时'!$B$5:$B$264,"F03",'原始计时'!$C$5:$C$264,"original",'原始计时'!$D$5:$D$264,1)/1000000)-1</x:f>
        <x:v>0.004826210591882152</x:v>
      </x:c>
      <x:c r="J7" s="14" t="n">
        <x:f>SUMIFS('原始计时'!$E$5:$E$264,'原始计时'!$A$5:$A$264,"resource15-variance-A-context6",'原始计时'!$B$5:$B$264,"F03",'原始计时'!$C$5:$C$264,"optimized",'原始计时'!$D$5:$D$264,2)/SUMIFS('原始计时'!$F$5:$F$264,'原始计时'!$A$5:$A$264,"resource15-variance-A-context6",'原始计时'!$B$5:$B$264,"F03",'原始计时'!$C$5:$C$264,"optimized",'原始计时'!$D$5:$D$264,2)/1000000/(SUMIFS('原始计时'!$E$5:$E$264,'原始计时'!$A$5:$A$264,"resource15-variance-A-context6",'原始计时'!$B$5:$B$264,"F03",'原始计时'!$C$5:$C$264,"original",'原始计时'!$D$5:$D$264,2)/SUMIFS('原始计时'!$F$5:$F$264,'原始计时'!$A$5:$A$264,"resource15-variance-A-context6",'原始计时'!$B$5:$B$264,"F03",'原始计时'!$C$5:$C$264,"original",'原始计时'!$D$5:$D$264,2)/1000000)-1</x:f>
        <x:v>-0.006662416856845765</x:v>
      </x:c>
      <x:c r="K7" s="11" t="str">
        <x:v>历史测量</x:v>
      </x:c>
      <x:c r="L7" s="11" t="str">
        <x:v>与旧全量为独立场次；不合并</x:v>
      </x:c>
    </x:row>
    <x:row r="8" ht="44" customHeight="1">
      <x:c r="A8" s="11" t="str">
        <x:v>15对原版：复测A</x:v>
      </x:c>
      <x:c r="B8" s="11" t="str">
        <x:v>F04</x:v>
      </x:c>
      <x:c r="C8" s="11" t="str">
        <x:v>original</x:v>
      </x:c>
      <x:c r="D8" s="11" t="str">
        <x:v>optimized</x:v>
      </x:c>
      <x:c r="E8" s="13" t="n">
        <x:f>SUMIFS('原始计时'!$E$5:$E$264,'原始计时'!$A$5:$A$264,"resource15-variance-A-context6",'原始计时'!$B$5:$B$264,"F04",'原始计时'!$C$5:$C$264,"original")/SUMIFS('原始计时'!$F$5:$F$264,'原始计时'!$A$5:$A$264,"resource15-variance-A-context6",'原始计时'!$B$5:$B$264,"F04",'原始计时'!$C$5:$C$264,"original")/1000000</x:f>
        <x:v>0.222266445325079</x:v>
      </x:c>
      <x:c r="F8" s="13" t="n">
        <x:f>SUMIFS('原始计时'!$E$5:$E$264,'原始计时'!$A$5:$A$264,"resource15-variance-A-context6",'原始计时'!$B$5:$B$264,"F04",'原始计时'!$C$5:$C$264,"optimized")/SUMIFS('原始计时'!$F$5:$F$264,'原始计时'!$A$5:$A$264,"resource15-variance-A-context6",'原始计时'!$B$5:$B$264,"F04",'原始计时'!$C$5:$C$264,"optimized")/1000000</x:f>
        <x:v>1.5287331542595488</x:v>
      </x:c>
      <x:c r="G8" s="14" t="n">
        <x:f>F8/E8-1</x:f>
        <x:v>5.877930458750434</x:v>
      </x:c>
      <x:c r="H8" s="14" t="n">
        <x:f>AVERAGEIFS('原始计时'!$G$5:$G$264,'原始计时'!$A$5:$A$264,"resource15-variance-A-context6",'原始计时'!$B$5:$B$264,"F04",'原始计时'!$C$5:$C$264,"optimized")/1000000/(AVERAGEIFS('原始计时'!$G$5:$G$264,'原始计时'!$A$5:$A$264,"resource15-variance-A-context6",'原始计时'!$B$5:$B$264,"F04",'原始计时'!$C$5:$C$264,"original")/1000000)-1</x:f>
        <x:v>5.877684577733475</x:v>
      </x:c>
      <x:c r="I8" s="14" t="n">
        <x:f>SUMIFS('原始计时'!$E$5:$E$264,'原始计时'!$A$5:$A$264,"resource15-variance-A-context6",'原始计时'!$B$5:$B$264,"F04",'原始计时'!$C$5:$C$264,"optimized",'原始计时'!$D$5:$D$264,1)/SUMIFS('原始计时'!$F$5:$F$264,'原始计时'!$A$5:$A$264,"resource15-variance-A-context6",'原始计时'!$B$5:$B$264,"F04",'原始计时'!$C$5:$C$264,"optimized",'原始计时'!$D$5:$D$264,1)/1000000/(SUMIFS('原始计时'!$E$5:$E$264,'原始计时'!$A$5:$A$264,"resource15-variance-A-context6",'原始计时'!$B$5:$B$264,"F04",'原始计时'!$C$5:$C$264,"original",'原始计时'!$D$5:$D$264,1)/SUMIFS('原始计时'!$F$5:$F$264,'原始计时'!$A$5:$A$264,"resource15-variance-A-context6",'原始计时'!$B$5:$B$264,"F04",'原始计时'!$C$5:$C$264,"original",'原始计时'!$D$5:$D$264,1)/1000000)-1</x:f>
        <x:v>6.197798189474236</x:v>
      </x:c>
      <x:c r="J8" s="14" t="n">
        <x:f>SUMIFS('原始计时'!$E$5:$E$264,'原始计时'!$A$5:$A$264,"resource15-variance-A-context6",'原始计时'!$B$5:$B$264,"F04",'原始计时'!$C$5:$C$264,"optimized",'原始计时'!$D$5:$D$264,2)/SUMIFS('原始计时'!$F$5:$F$264,'原始计时'!$A$5:$A$264,"resource15-variance-A-context6",'原始计时'!$B$5:$B$264,"F04",'原始计时'!$C$5:$C$264,"optimized",'原始计时'!$D$5:$D$264,2)/1000000/(SUMIFS('原始计时'!$E$5:$E$264,'原始计时'!$A$5:$A$264,"resource15-variance-A-context6",'原始计时'!$B$5:$B$264,"F04",'原始计时'!$C$5:$C$264,"original",'原始计时'!$D$5:$D$264,2)/SUMIFS('原始计时'!$F$5:$F$264,'原始计时'!$A$5:$A$264,"resource15-variance-A-context6",'原始计时'!$B$5:$B$264,"F04",'原始计时'!$C$5:$C$264,"original",'原始计时'!$D$5:$D$264,2)/1000000)-1</x:f>
        <x:v>5.604718880720204</x:v>
      </x:c>
      <x:c r="K8" s="11" t="str">
        <x:v>历史测量</x:v>
      </x:c>
      <x:c r="L8" s="11" t="str">
        <x:v>与旧全量为独立场次；不合并</x:v>
      </x:c>
    </x:row>
    <x:row r="9" ht="44" customHeight="1">
      <x:c r="A9" s="11" t="str">
        <x:v>15对原版：复测A</x:v>
      </x:c>
      <x:c r="B9" s="11" t="str">
        <x:v>F06</x:v>
      </x:c>
      <x:c r="C9" s="11" t="str">
        <x:v>original</x:v>
      </x:c>
      <x:c r="D9" s="11" t="str">
        <x:v>optimized</x:v>
      </x:c>
      <x:c r="E9" s="13" t="n">
        <x:f>SUMIFS('原始计时'!$E$5:$E$264,'原始计时'!$A$5:$A$264,"resource15-variance-A-context6",'原始计时'!$B$5:$B$264,"F06",'原始计时'!$C$5:$C$264,"original")/SUMIFS('原始计时'!$F$5:$F$264,'原始计时'!$A$5:$A$264,"resource15-variance-A-context6",'原始计时'!$B$5:$B$264,"F06",'原始计时'!$C$5:$C$264,"original")/1000000</x:f>
        <x:v>2.8137478821014983</x:v>
      </x:c>
      <x:c r="F9" s="13" t="n">
        <x:f>SUMIFS('原始计时'!$E$5:$E$264,'原始计时'!$A$5:$A$264,"resource15-variance-A-context6",'原始计时'!$B$5:$B$264,"F06",'原始计时'!$C$5:$C$264,"optimized")/SUMIFS('原始计时'!$F$5:$F$264,'原始计时'!$A$5:$A$264,"resource15-variance-A-context6",'原始计时'!$B$5:$B$264,"F06",'原始计时'!$C$5:$C$264,"optimized")/1000000</x:f>
        <x:v>2.8274245854920506</x:v>
      </x:c>
      <x:c r="G9" s="14" t="n">
        <x:f>F9/E9-1</x:f>
        <x:v>0.004860671234104164</x:v>
      </x:c>
      <x:c r="H9" s="14" t="n">
        <x:f>AVERAGEIFS('原始计时'!$G$5:$G$264,'原始计时'!$A$5:$A$264,"resource15-variance-A-context6",'原始计时'!$B$5:$B$264,"F06",'原始计时'!$C$5:$C$264,"optimized")/1000000/(AVERAGEIFS('原始计时'!$G$5:$G$264,'原始计时'!$A$5:$A$264,"resource15-variance-A-context6",'原始计时'!$B$5:$B$264,"F06",'原始计时'!$C$5:$C$264,"original")/1000000)-1</x:f>
        <x:v>0.004862823399153449</x:v>
      </x:c>
      <x:c r="I9" s="14" t="n">
        <x:f>SUMIFS('原始计时'!$E$5:$E$264,'原始计时'!$A$5:$A$264,"resource15-variance-A-context6",'原始计时'!$B$5:$B$264,"F06",'原始计时'!$C$5:$C$264,"optimized",'原始计时'!$D$5:$D$264,1)/SUMIFS('原始计时'!$F$5:$F$264,'原始计时'!$A$5:$A$264,"resource15-variance-A-context6",'原始计时'!$B$5:$B$264,"F06",'原始计时'!$C$5:$C$264,"optimized",'原始计时'!$D$5:$D$264,1)/1000000/(SUMIFS('原始计时'!$E$5:$E$264,'原始计时'!$A$5:$A$264,"resource15-variance-A-context6",'原始计时'!$B$5:$B$264,"F06",'原始计时'!$C$5:$C$264,"original",'原始计时'!$D$5:$D$264,1)/SUMIFS('原始计时'!$F$5:$F$264,'原始计时'!$A$5:$A$264,"resource15-variance-A-context6",'原始计时'!$B$5:$B$264,"F06",'原始计时'!$C$5:$C$264,"original",'原始计时'!$D$5:$D$264,1)/1000000)-1</x:f>
        <x:v>-0.002635573594164886</x:v>
      </x:c>
      <x:c r="J9" s="14" t="n">
        <x:f>SUMIFS('原始计时'!$E$5:$E$264,'原始计时'!$A$5:$A$264,"resource15-variance-A-context6",'原始计时'!$B$5:$B$264,"F06",'原始计时'!$C$5:$C$264,"optimized",'原始计时'!$D$5:$D$264,2)/SUMIFS('原始计时'!$F$5:$F$264,'原始计时'!$A$5:$A$264,"resource15-variance-A-context6",'原始计时'!$B$5:$B$264,"F06",'原始计时'!$C$5:$C$264,"optimized",'原始计时'!$D$5:$D$264,2)/1000000/(SUMIFS('原始计时'!$E$5:$E$264,'原始计时'!$A$5:$A$264,"resource15-variance-A-context6",'原始计时'!$B$5:$B$264,"F06",'原始计时'!$C$5:$C$264,"original",'原始计时'!$D$5:$D$264,2)/SUMIFS('原始计时'!$F$5:$F$264,'原始计时'!$A$5:$A$264,"resource15-variance-A-context6",'原始计时'!$B$5:$B$264,"F06",'原始计时'!$C$5:$C$264,"original",'原始计时'!$D$5:$D$264,2)/1000000)-1</x:f>
        <x:v>0.012345117053767174</x:v>
      </x:c>
      <x:c r="K9" s="11" t="str">
        <x:v>历史测量</x:v>
      </x:c>
      <x:c r="L9" s="11" t="str">
        <x:v>与旧全量为独立场次；不合并</x:v>
      </x:c>
    </x:row>
    <x:row r="10" ht="44" customHeight="1">
      <x:c r="A10" s="11" t="str">
        <x:v>15对原版：复测A</x:v>
      </x:c>
      <x:c r="B10" s="11" t="str">
        <x:v>C01</x:v>
      </x:c>
      <x:c r="C10" s="11" t="str">
        <x:v>original</x:v>
      </x:c>
      <x:c r="D10" s="11" t="str">
        <x:v>optimized</x:v>
      </x:c>
      <x:c r="E10" s="13" t="n">
        <x:f>SUMIFS('原始计时'!$E$5:$E$264,'原始计时'!$A$5:$A$264,"resource15-variance-A-context6",'原始计时'!$B$5:$B$264,"C01",'原始计时'!$C$5:$C$264,"original")/SUMIFS('原始计时'!$F$5:$F$264,'原始计时'!$A$5:$A$264,"resource15-variance-A-context6",'原始计时'!$B$5:$B$264,"C01",'原始计时'!$C$5:$C$264,"original")/1000000</x:f>
        <x:v>47.41700827581193</x:v>
      </x:c>
      <x:c r="F10" s="13" t="n">
        <x:f>SUMIFS('原始计时'!$E$5:$E$264,'原始计时'!$A$5:$A$264,"resource15-variance-A-context6",'原始计时'!$B$5:$B$264,"C01",'原始计时'!$C$5:$C$264,"optimized")/SUMIFS('原始计时'!$F$5:$F$264,'原始计时'!$A$5:$A$264,"resource15-variance-A-context6",'原始计时'!$B$5:$B$264,"C01",'原始计时'!$C$5:$C$264,"optimized")/1000000</x:f>
        <x:v>385.7986050922186</x:v>
      </x:c>
      <x:c r="G10" s="14" t="n">
        <x:f>F10/E10-1</x:f>
        <x:v>7.136291578079586</x:v>
      </x:c>
      <x:c r="H10" s="14" t="n">
        <x:f>AVERAGEIFS('原始计时'!$G$5:$G$264,'原始计时'!$A$5:$A$264,"resource15-variance-A-context6",'原始计时'!$B$5:$B$264,"C01",'原始计时'!$C$5:$C$264,"optimized")/1000000/(AVERAGEIFS('原始计时'!$G$5:$G$264,'原始计时'!$A$5:$A$264,"resource15-variance-A-context6",'原始计时'!$B$5:$B$264,"C01",'原始计时'!$C$5:$C$264,"original")/1000000)-1</x:f>
        <x:v>7.136291711371969</x:v>
      </x:c>
      <x:c r="I10" s="14" t="n">
        <x:f>SUMIFS('原始计时'!$E$5:$E$264,'原始计时'!$A$5:$A$264,"resource15-variance-A-context6",'原始计时'!$B$5:$B$264,"C01",'原始计时'!$C$5:$C$264,"optimized",'原始计时'!$D$5:$D$264,1)/SUMIFS('原始计时'!$F$5:$F$264,'原始计时'!$A$5:$A$264,"resource15-variance-A-context6",'原始计时'!$B$5:$B$264,"C01",'原始计时'!$C$5:$C$264,"optimized",'原始计时'!$D$5:$D$264,1)/1000000/(SUMIFS('原始计时'!$E$5:$E$264,'原始计时'!$A$5:$A$264,"resource15-variance-A-context6",'原始计时'!$B$5:$B$264,"C01",'原始计时'!$C$5:$C$264,"original",'原始计时'!$D$5:$D$264,1)/SUMIFS('原始计时'!$F$5:$F$264,'原始计时'!$A$5:$A$264,"resource15-variance-A-context6",'原始计时'!$B$5:$B$264,"C01",'原始计时'!$C$5:$C$264,"original",'原始计时'!$D$5:$D$264,1)/1000000)-1</x:f>
        <x:v>6.8183840258328</x:v>
      </x:c>
      <x:c r="J10" s="14" t="n">
        <x:f>SUMIFS('原始计时'!$E$5:$E$264,'原始计时'!$A$5:$A$264,"resource15-variance-A-context6",'原始计时'!$B$5:$B$264,"C01",'原始计时'!$C$5:$C$264,"optimized",'原始计时'!$D$5:$D$264,2)/SUMIFS('原始计时'!$F$5:$F$264,'原始计时'!$A$5:$A$264,"resource15-variance-A-context6",'原始计时'!$B$5:$B$264,"C01",'原始计时'!$C$5:$C$264,"optimized",'原始计时'!$D$5:$D$264,2)/1000000/(SUMIFS('原始计时'!$E$5:$E$264,'原始计时'!$A$5:$A$264,"resource15-variance-A-context6",'原始计时'!$B$5:$B$264,"C01",'原始计时'!$C$5:$C$264,"original",'原始计时'!$D$5:$D$264,2)/SUMIFS('原始计时'!$F$5:$F$264,'原始计时'!$A$5:$A$264,"resource15-variance-A-context6",'原始计时'!$B$5:$B$264,"C01",'原始计时'!$C$5:$C$264,"original",'原始计时'!$D$5:$D$264,2)/1000000)-1</x:f>
        <x:v>7.457174007482699</x:v>
      </x:c>
      <x:c r="K10" s="11" t="str">
        <x:v>历史测量</x:v>
      </x:c>
      <x:c r="L10" s="11" t="str">
        <x:v>与旧全量为独立场次；不合并</x:v>
      </x:c>
    </x:row>
    <x:row r="11" ht="44" customHeight="1">
      <x:c r="A11" s="11" t="str">
        <x:v>15对原版：复测B（延长部分预热）</x:v>
      </x:c>
      <x:c r="B11" s="11" t="str">
        <x:v>U01</x:v>
      </x:c>
      <x:c r="C11" s="11" t="str">
        <x:v>original</x:v>
      </x:c>
      <x:c r="D11" s="11" t="str">
        <x:v>optimized</x:v>
      </x:c>
      <x:c r="E11" s="13" t="n">
        <x:f>SUMIFS('原始计时'!$E$5:$E$264,'原始计时'!$A$5:$A$264,"resource15-variance-B-context6",'原始计时'!$B$5:$B$264,"U01",'原始计时'!$C$5:$C$264,"original")/SUMIFS('原始计时'!$F$5:$F$264,'原始计时'!$A$5:$A$264,"resource15-variance-B-context6",'原始计时'!$B$5:$B$264,"U01",'原始计时'!$C$5:$C$264,"original")/1000000</x:f>
        <x:v>16062.139176966328</x:v>
      </x:c>
      <x:c r="F11" s="13" t="n">
        <x:f>SUMIFS('原始计时'!$E$5:$E$264,'原始计时'!$A$5:$A$264,"resource15-variance-B-context6",'原始计时'!$B$5:$B$264,"U01",'原始计时'!$C$5:$C$264,"optimized")/SUMIFS('原始计时'!$F$5:$F$264,'原始计时'!$A$5:$A$264,"resource15-variance-B-context6",'原始计时'!$B$5:$B$264,"U01",'原始计时'!$C$5:$C$264,"optimized")/1000000</x:f>
        <x:v>35410.311825741475</x:v>
      </x:c>
      <x:c r="G11" s="14" t="n">
        <x:f>F11/E11-1</x:f>
        <x:v>1.2045825550136628</x:v>
      </x:c>
      <x:c r="H11" s="14" t="n">
        <x:f>AVERAGEIFS('原始计时'!$G$5:$G$264,'原始计时'!$A$5:$A$264,"resource15-variance-B-context6",'原始计时'!$B$5:$B$264,"U01",'原始计时'!$C$5:$C$264,"optimized")/1000000/(AVERAGEIFS('原始计时'!$G$5:$G$264,'原始计时'!$A$5:$A$264,"resource15-variance-B-context6",'原始计时'!$B$5:$B$264,"U01",'原始计时'!$C$5:$C$264,"original")/1000000)-1</x:f>
        <x:v>1.2045826630309535</x:v>
      </x:c>
      <x:c r="I11" s="14" t="n">
        <x:f>SUMIFS('原始计时'!$E$5:$E$264,'原始计时'!$A$5:$A$264,"resource15-variance-B-context6",'原始计时'!$B$5:$B$264,"U01",'原始计时'!$C$5:$C$264,"optimized",'原始计时'!$D$5:$D$264,1)/SUMIFS('原始计时'!$F$5:$F$264,'原始计时'!$A$5:$A$264,"resource15-variance-B-context6",'原始计时'!$B$5:$B$264,"U01",'原始计时'!$C$5:$C$264,"optimized",'原始计时'!$D$5:$D$264,1)/1000000/(SUMIFS('原始计时'!$E$5:$E$264,'原始计时'!$A$5:$A$264,"resource15-variance-B-context6",'原始计时'!$B$5:$B$264,"U01",'原始计时'!$C$5:$C$264,"original",'原始计时'!$D$5:$D$264,1)/SUMIFS('原始计时'!$F$5:$F$264,'原始计时'!$A$5:$A$264,"resource15-variance-B-context6",'原始计时'!$B$5:$B$264,"U01",'原始计时'!$C$5:$C$264,"original",'原始计时'!$D$5:$D$264,1)/1000000)-1</x:f>
        <x:v>1.1997929373000709</x:v>
      </x:c>
      <x:c r="J11" s="14" t="n">
        <x:f>SUMIFS('原始计时'!$E$5:$E$264,'原始计时'!$A$5:$A$264,"resource15-variance-B-context6",'原始计时'!$B$5:$B$264,"U01",'原始计时'!$C$5:$C$264,"optimized",'原始计时'!$D$5:$D$264,2)/SUMIFS('原始计时'!$F$5:$F$264,'原始计时'!$A$5:$A$264,"resource15-variance-B-context6",'原始计时'!$B$5:$B$264,"U01",'原始计时'!$C$5:$C$264,"optimized",'原始计时'!$D$5:$D$264,2)/1000000/(SUMIFS('原始计时'!$E$5:$E$264,'原始计时'!$A$5:$A$264,"resource15-variance-B-context6",'原始计时'!$B$5:$B$264,"U01",'原始计时'!$C$5:$C$264,"original",'原始计时'!$D$5:$D$264,2)/SUMIFS('原始计时'!$F$5:$F$264,'原始计时'!$A$5:$A$264,"resource15-variance-B-context6",'原始计时'!$B$5:$B$264,"U01",'原始计时'!$C$5:$C$264,"original",'原始计时'!$D$5:$D$264,2)/1000000)-1</x:f>
        <x:v>1.2094276202657688</x:v>
      </x:c>
      <x:c r="K11" s="11" t="str">
        <x:v>历史测量</x:v>
      </x:c>
      <x:c r="L11" s="11" t="str">
        <x:v>与旧全量为独立场次；不合并</x:v>
      </x:c>
    </x:row>
    <x:row r="12" ht="44" customHeight="1">
      <x:c r="A12" s="11" t="str">
        <x:v>15对原版：复测B（延长部分预热）</x:v>
      </x:c>
      <x:c r="B12" s="11" t="str">
        <x:v>F02</x:v>
      </x:c>
      <x:c r="C12" s="11" t="str">
        <x:v>original</x:v>
      </x:c>
      <x:c r="D12" s="11" t="str">
        <x:v>optimized</x:v>
      </x:c>
      <x:c r="E12" s="13" t="n">
        <x:f>SUMIFS('原始计时'!$E$5:$E$264,'原始计时'!$A$5:$A$264,"resource15-variance-B-context6",'原始计时'!$B$5:$B$264,"F02",'原始计时'!$C$5:$C$264,"original")/SUMIFS('原始计时'!$F$5:$F$264,'原始计时'!$A$5:$A$264,"resource15-variance-B-context6",'原始计时'!$B$5:$B$264,"F02",'原始计时'!$C$5:$C$264,"original")/1000000</x:f>
        <x:v>0.2115996105110632</x:v>
      </x:c>
      <x:c r="F12" s="13" t="n">
        <x:f>SUMIFS('原始计时'!$E$5:$E$264,'原始计时'!$A$5:$A$264,"resource15-variance-B-context6",'原始计时'!$B$5:$B$264,"F02",'原始计时'!$C$5:$C$264,"optimized")/SUMIFS('原始计时'!$F$5:$F$264,'原始计时'!$A$5:$A$264,"resource15-variance-B-context6",'原始计时'!$B$5:$B$264,"F02",'原始计时'!$C$5:$C$264,"optimized")/1000000</x:f>
        <x:v>0.19266710634782055</x:v>
      </x:c>
      <x:c r="G12" s="14" t="n">
        <x:f>F12/E12-1</x:f>
        <x:v>-0.08947324674897172</x:v>
      </x:c>
      <x:c r="H12" s="14" t="n">
        <x:f>AVERAGEIFS('原始计时'!$G$5:$G$264,'原始计时'!$A$5:$A$264,"resource15-variance-B-context6",'原始计时'!$B$5:$B$264,"F02",'原始计时'!$C$5:$C$264,"optimized")/1000000/(AVERAGEIFS('原始计时'!$G$5:$G$264,'原始计时'!$A$5:$A$264,"resource15-variance-B-context6",'原始计时'!$B$5:$B$264,"F02",'原始计时'!$C$5:$C$264,"original")/1000000)-1</x:f>
        <x:v>-0.08949876557074699</x:v>
      </x:c>
      <x:c r="I12" s="14" t="n">
        <x:f>SUMIFS('原始计时'!$E$5:$E$264,'原始计时'!$A$5:$A$264,"resource15-variance-B-context6",'原始计时'!$B$5:$B$264,"F02",'原始计时'!$C$5:$C$264,"optimized",'原始计时'!$D$5:$D$264,1)/SUMIFS('原始计时'!$F$5:$F$264,'原始计时'!$A$5:$A$264,"resource15-variance-B-context6",'原始计时'!$B$5:$B$264,"F02",'原始计时'!$C$5:$C$264,"optimized",'原始计时'!$D$5:$D$264,1)/1000000/(SUMIFS('原始计时'!$E$5:$E$264,'原始计时'!$A$5:$A$264,"resource15-variance-B-context6",'原始计时'!$B$5:$B$264,"F02",'原始计时'!$C$5:$C$264,"original",'原始计时'!$D$5:$D$264,1)/SUMIFS('原始计时'!$F$5:$F$264,'原始计时'!$A$5:$A$264,"resource15-variance-B-context6",'原始计时'!$B$5:$B$264,"F02",'原始计时'!$C$5:$C$264,"original",'原始计时'!$D$5:$D$264,1)/1000000)-1</x:f>
        <x:v>-0.08645348211658133</x:v>
      </x:c>
      <x:c r="J12" s="14" t="n">
        <x:f>SUMIFS('原始计时'!$E$5:$E$264,'原始计时'!$A$5:$A$264,"resource15-variance-B-context6",'原始计时'!$B$5:$B$264,"F02",'原始计时'!$C$5:$C$264,"optimized",'原始计时'!$D$5:$D$264,2)/SUMIFS('原始计时'!$F$5:$F$264,'原始计时'!$A$5:$A$264,"resource15-variance-B-context6",'原始计时'!$B$5:$B$264,"F02",'原始计时'!$C$5:$C$264,"optimized",'原始计时'!$D$5:$D$264,2)/1000000/(SUMIFS('原始计时'!$E$5:$E$264,'原始计时'!$A$5:$A$264,"resource15-variance-B-context6",'原始计时'!$B$5:$B$264,"F02",'原始计时'!$C$5:$C$264,"original",'原始计时'!$D$5:$D$264,2)/SUMIFS('原始计时'!$F$5:$F$264,'原始计时'!$A$5:$A$264,"resource15-variance-B-context6",'原始计时'!$B$5:$B$264,"F02",'原始计时'!$C$5:$C$264,"original",'原始计时'!$D$5:$D$264,2)/1000000)-1</x:f>
        <x:v>-0.09262253421502409</x:v>
      </x:c>
      <x:c r="K12" s="11" t="str">
        <x:v>历史测量</x:v>
      </x:c>
      <x:c r="L12" s="11" t="str">
        <x:v>与旧全量为独立场次；不合并</x:v>
      </x:c>
    </x:row>
    <x:row r="13" ht="44" customHeight="1">
      <x:c r="A13" s="11" t="str">
        <x:v>15对原版：复测B（延长部分预热）</x:v>
      </x:c>
      <x:c r="B13" s="11" t="str">
        <x:v>F03</x:v>
      </x:c>
      <x:c r="C13" s="11" t="str">
        <x:v>original</x:v>
      </x:c>
      <x:c r="D13" s="11" t="str">
        <x:v>optimized</x:v>
      </x:c>
      <x:c r="E13" s="13" t="n">
        <x:f>SUMIFS('原始计时'!$E$5:$E$264,'原始计时'!$A$5:$A$264,"resource15-variance-B-context6",'原始计时'!$B$5:$B$264,"F03",'原始计时'!$C$5:$C$264,"original")/SUMIFS('原始计时'!$F$5:$F$264,'原始计时'!$A$5:$A$264,"resource15-variance-B-context6",'原始计时'!$B$5:$B$264,"F03",'原始计时'!$C$5:$C$264,"original")/1000000</x:f>
        <x:v>1.9672850183696289</x:v>
      </x:c>
      <x:c r="F13" s="13" t="n">
        <x:f>SUMIFS('原始计时'!$E$5:$E$264,'原始计时'!$A$5:$A$264,"resource15-variance-B-context6",'原始计时'!$B$5:$B$264,"F03",'原始计时'!$C$5:$C$264,"optimized")/SUMIFS('原始计时'!$F$5:$F$264,'原始计时'!$A$5:$A$264,"resource15-variance-B-context6",'原始计时'!$B$5:$B$264,"F03",'原始计时'!$C$5:$C$264,"optimized")/1000000</x:f>
        <x:v>0.9831523488031011</x:v>
      </x:c>
      <x:c r="G13" s="14" t="n">
        <x:f>F13/E13-1</x:f>
        <x:v>-0.5002491557538111</x:v>
      </x:c>
      <x:c r="H13" s="14" t="n">
        <x:f>AVERAGEIFS('原始计时'!$G$5:$G$264,'原始计时'!$A$5:$A$264,"resource15-variance-B-context6",'原始计时'!$B$5:$B$264,"F03",'原始计时'!$C$5:$C$264,"optimized")/1000000/(AVERAGEIFS('原始计时'!$G$5:$G$264,'原始计时'!$A$5:$A$264,"resource15-variance-B-context6",'原始计时'!$B$5:$B$264,"F03",'原始计时'!$C$5:$C$264,"original")/1000000)-1</x:f>
        <x:v>-0.5002487379807236</x:v>
      </x:c>
      <x:c r="I13" s="14" t="n">
        <x:f>SUMIFS('原始计时'!$E$5:$E$264,'原始计时'!$A$5:$A$264,"resource15-variance-B-context6",'原始计时'!$B$5:$B$264,"F03",'原始计时'!$C$5:$C$264,"optimized",'原始计时'!$D$5:$D$264,1)/SUMIFS('原始计时'!$F$5:$F$264,'原始计时'!$A$5:$A$264,"resource15-variance-B-context6",'原始计时'!$B$5:$B$264,"F03",'原始计时'!$C$5:$C$264,"optimized",'原始计时'!$D$5:$D$264,1)/1000000/(SUMIFS('原始计时'!$E$5:$E$264,'原始计时'!$A$5:$A$264,"resource15-variance-B-context6",'原始计时'!$B$5:$B$264,"F03",'原始计时'!$C$5:$C$264,"original",'原始计时'!$D$5:$D$264,1)/SUMIFS('原始计时'!$F$5:$F$264,'原始计时'!$A$5:$A$264,"resource15-variance-B-context6",'原始计时'!$B$5:$B$264,"F03",'原始计时'!$C$5:$C$264,"original",'原始计时'!$D$5:$D$264,1)/1000000)-1</x:f>
        <x:v>-0.5007959644460309</x:v>
      </x:c>
      <x:c r="J13" s="14" t="n">
        <x:f>SUMIFS('原始计时'!$E$5:$E$264,'原始计时'!$A$5:$A$264,"resource15-variance-B-context6",'原始计时'!$B$5:$B$264,"F03",'原始计时'!$C$5:$C$264,"optimized",'原始计时'!$D$5:$D$264,2)/SUMIFS('原始计时'!$F$5:$F$264,'原始计时'!$A$5:$A$264,"resource15-variance-B-context6",'原始计时'!$B$5:$B$264,"F03",'原始计时'!$C$5:$C$264,"optimized",'原始计时'!$D$5:$D$264,2)/1000000/(SUMIFS('原始计时'!$E$5:$E$264,'原始计时'!$A$5:$A$264,"resource15-variance-B-context6",'原始计时'!$B$5:$B$264,"F03",'原始计时'!$C$5:$C$264,"original",'原始计时'!$D$5:$D$264,2)/SUMIFS('原始计时'!$F$5:$F$264,'原始计时'!$A$5:$A$264,"resource15-variance-B-context6",'原始计时'!$B$5:$B$264,"F03",'原始计时'!$C$5:$C$264,"original",'原始计时'!$D$5:$D$264,2)/1000000)-1</x:f>
        <x:v>-0.49969892874472144</x:v>
      </x:c>
      <x:c r="K13" s="11" t="str">
        <x:v>历史测量</x:v>
      </x:c>
      <x:c r="L13" s="11" t="str">
        <x:v>与旧全量为独立场次；不合并</x:v>
      </x:c>
    </x:row>
    <x:row r="14" ht="44" customHeight="1">
      <x:c r="A14" s="11" t="str">
        <x:v>15对原版：复测B（延长部分预热）</x:v>
      </x:c>
      <x:c r="B14" s="11" t="str">
        <x:v>F04</x:v>
      </x:c>
      <x:c r="C14" s="11" t="str">
        <x:v>original</x:v>
      </x:c>
      <x:c r="D14" s="11" t="str">
        <x:v>optimized</x:v>
      </x:c>
      <x:c r="E14" s="13" t="n">
        <x:f>SUMIFS('原始计时'!$E$5:$E$264,'原始计时'!$A$5:$A$264,"resource15-variance-B-context6",'原始计时'!$B$5:$B$264,"F04",'原始计时'!$C$5:$C$264,"original")/SUMIFS('原始计时'!$F$5:$F$264,'原始计时'!$A$5:$A$264,"resource15-variance-B-context6",'原始计时'!$B$5:$B$264,"F04",'原始计时'!$C$5:$C$264,"original")/1000000</x:f>
        <x:v>0.20395393824656322</x:v>
      </x:c>
      <x:c r="F14" s="13" t="n">
        <x:f>SUMIFS('原始计时'!$E$5:$E$264,'原始计时'!$A$5:$A$264,"resource15-variance-B-context6",'原始计时'!$B$5:$B$264,"F04",'原始计时'!$C$5:$C$264,"optimized")/SUMIFS('原始计时'!$F$5:$F$264,'原始计时'!$A$5:$A$264,"resource15-variance-B-context6",'原始计时'!$B$5:$B$264,"F04",'原始计时'!$C$5:$C$264,"optimized")/1000000</x:f>
        <x:v>1.4422055580537143</x:v>
      </x:c>
      <x:c r="G14" s="14" t="n">
        <x:f>F14/E14-1</x:f>
        <x:v>6.0712317224794585</x:v>
      </x:c>
      <x:c r="H14" s="14" t="n">
        <x:f>AVERAGEIFS('原始计时'!$G$5:$G$264,'原始计时'!$A$5:$A$264,"resource15-variance-B-context6",'原始计时'!$B$5:$B$264,"F04",'原始计时'!$C$5:$C$264,"optimized")/1000000/(AVERAGEIFS('原始计时'!$G$5:$G$264,'原始计时'!$A$5:$A$264,"resource15-variance-B-context6",'原始计时'!$B$5:$B$264,"F04",'原始计时'!$C$5:$C$264,"original")/1000000)-1</x:f>
        <x:v>6.071257157711535</x:v>
      </x:c>
      <x:c r="I14" s="14" t="n">
        <x:f>SUMIFS('原始计时'!$E$5:$E$264,'原始计时'!$A$5:$A$264,"resource15-variance-B-context6",'原始计时'!$B$5:$B$264,"F04",'原始计时'!$C$5:$C$264,"optimized",'原始计时'!$D$5:$D$264,1)/SUMIFS('原始计时'!$F$5:$F$264,'原始计时'!$A$5:$A$264,"resource15-variance-B-context6",'原始计时'!$B$5:$B$264,"F04",'原始计时'!$C$5:$C$264,"optimized",'原始计时'!$D$5:$D$264,1)/1000000/(SUMIFS('原始计时'!$E$5:$E$264,'原始计时'!$A$5:$A$264,"resource15-variance-B-context6",'原始计时'!$B$5:$B$264,"F04",'原始计时'!$C$5:$C$264,"original",'原始计时'!$D$5:$D$264,1)/SUMIFS('原始计时'!$F$5:$F$264,'原始计时'!$A$5:$A$264,"resource15-variance-B-context6",'原始计时'!$B$5:$B$264,"F04",'原始计时'!$C$5:$C$264,"original",'原始计时'!$D$5:$D$264,1)/1000000)-1</x:f>
        <x:v>6.242916573067393</x:v>
      </x:c>
      <x:c r="J14" s="14" t="n">
        <x:f>SUMIFS('原始计时'!$E$5:$E$264,'原始计时'!$A$5:$A$264,"resource15-variance-B-context6",'原始计时'!$B$5:$B$264,"F04",'原始计时'!$C$5:$C$264,"optimized",'原始计时'!$D$5:$D$264,2)/SUMIFS('原始计时'!$F$5:$F$264,'原始计时'!$A$5:$A$264,"resource15-variance-B-context6",'原始计时'!$B$5:$B$264,"F04",'原始计时'!$C$5:$C$264,"optimized",'原始计时'!$D$5:$D$264,2)/1000000/(SUMIFS('原始计时'!$E$5:$E$264,'原始计时'!$A$5:$A$264,"resource15-variance-B-context6",'原始计时'!$B$5:$B$264,"F04",'原始计时'!$C$5:$C$264,"original",'原始计时'!$D$5:$D$264,2)/SUMIFS('原始计时'!$F$5:$F$264,'原始计时'!$A$5:$A$264,"resource15-variance-B-context6",'原始计时'!$B$5:$B$264,"F04",'原始计时'!$C$5:$C$264,"original",'原始计时'!$D$5:$D$264,2)/1000000)-1</x:f>
        <x:v>5.9023167044994596</x:v>
      </x:c>
      <x:c r="K14" s="11" t="str">
        <x:v>历史测量</x:v>
      </x:c>
      <x:c r="L14" s="11" t="str">
        <x:v>与旧全量为独立场次；不合并</x:v>
      </x:c>
    </x:row>
    <x:row r="15" ht="44" customHeight="1">
      <x:c r="A15" s="11" t="str">
        <x:v>15对原版：复测B（延长部分预热）</x:v>
      </x:c>
      <x:c r="B15" s="11" t="str">
        <x:v>F06</x:v>
      </x:c>
      <x:c r="C15" s="11" t="str">
        <x:v>original</x:v>
      </x:c>
      <x:c r="D15" s="11" t="str">
        <x:v>optimized</x:v>
      </x:c>
      <x:c r="E15" s="13" t="n">
        <x:f>SUMIFS('原始计时'!$E$5:$E$264,'原始计时'!$A$5:$A$264,"resource15-variance-B-context6",'原始计时'!$B$5:$B$264,"F06",'原始计时'!$C$5:$C$264,"original")/SUMIFS('原始计时'!$F$5:$F$264,'原始计时'!$A$5:$A$264,"resource15-variance-B-context6",'原始计时'!$B$5:$B$264,"F06",'原始计时'!$C$5:$C$264,"original")/1000000</x:f>
        <x:v>2.8216956264450754</x:v>
      </x:c>
      <x:c r="F15" s="13" t="n">
        <x:f>SUMIFS('原始计时'!$E$5:$E$264,'原始计时'!$A$5:$A$264,"resource15-variance-B-context6",'原始计时'!$B$5:$B$264,"F06",'原始计时'!$C$5:$C$264,"optimized")/SUMIFS('原始计时'!$F$5:$F$264,'原始计时'!$A$5:$A$264,"resource15-variance-B-context6",'原始计时'!$B$5:$B$264,"F06",'原始计时'!$C$5:$C$264,"optimized")/1000000</x:f>
        <x:v>1.4216037916937825</x:v>
      </x:c>
      <x:c r="G15" s="14" t="n">
        <x:f>F15/E15-1</x:f>
        <x:v>-0.49618811526996776</x:v>
      </x:c>
      <x:c r="H15" s="14" t="n">
        <x:f>AVERAGEIFS('原始计时'!$G$5:$G$264,'原始计时'!$A$5:$A$264,"resource15-variance-B-context6",'原始计时'!$B$5:$B$264,"F06",'原始计时'!$C$5:$C$264,"optimized")/1000000/(AVERAGEIFS('原始计时'!$G$5:$G$264,'原始计时'!$A$5:$A$264,"resource15-variance-B-context6",'原始计时'!$B$5:$B$264,"F06",'原始计时'!$C$5:$C$264,"original")/1000000)-1</x:f>
        <x:v>-0.49618791141157725</x:v>
      </x:c>
      <x:c r="I15" s="14" t="n">
        <x:f>SUMIFS('原始计时'!$E$5:$E$264,'原始计时'!$A$5:$A$264,"resource15-variance-B-context6",'原始计时'!$B$5:$B$264,"F06",'原始计时'!$C$5:$C$264,"optimized",'原始计时'!$D$5:$D$264,1)/SUMIFS('原始计时'!$F$5:$F$264,'原始计时'!$A$5:$A$264,"resource15-variance-B-context6",'原始计时'!$B$5:$B$264,"F06",'原始计时'!$C$5:$C$264,"optimized",'原始计时'!$D$5:$D$264,1)/1000000/(SUMIFS('原始计时'!$E$5:$E$264,'原始计时'!$A$5:$A$264,"resource15-variance-B-context6",'原始计时'!$B$5:$B$264,"F06",'原始计时'!$C$5:$C$264,"original",'原始计时'!$D$5:$D$264,1)/SUMIFS('原始计时'!$F$5:$F$264,'原始计时'!$A$5:$A$264,"resource15-variance-B-context6",'原始计时'!$B$5:$B$264,"F06",'原始计时'!$C$5:$C$264,"original",'原始计时'!$D$5:$D$264,1)/1000000)-1</x:f>
        <x:v>-0.49170717776116646</x:v>
      </x:c>
      <x:c r="J15" s="14" t="n">
        <x:f>SUMIFS('原始计时'!$E$5:$E$264,'原始计时'!$A$5:$A$264,"resource15-variance-B-context6",'原始计时'!$B$5:$B$264,"F06",'原始计时'!$C$5:$C$264,"optimized",'原始计时'!$D$5:$D$264,2)/SUMIFS('原始计时'!$F$5:$F$264,'原始计时'!$A$5:$A$264,"resource15-variance-B-context6",'原始计时'!$B$5:$B$264,"F06",'原始计时'!$C$5:$C$264,"optimized",'原始计时'!$D$5:$D$264,2)/1000000/(SUMIFS('原始计时'!$E$5:$E$264,'原始计时'!$A$5:$A$264,"resource15-variance-B-context6",'原始计时'!$B$5:$B$264,"F06",'原始计时'!$C$5:$C$264,"original",'原始计时'!$D$5:$D$264,2)/SUMIFS('原始计时'!$F$5:$F$264,'原始计时'!$A$5:$A$264,"resource15-variance-B-context6",'原始计时'!$B$5:$B$264,"F06",'原始计时'!$C$5:$C$264,"original",'原始计时'!$D$5:$D$264,2)/1000000)-1</x:f>
        <x:v>-0.5006531904313255</x:v>
      </x:c>
      <x:c r="K15" s="11" t="str">
        <x:v>历史测量</x:v>
      </x:c>
      <x:c r="L15" s="11" t="str">
        <x:v>与旧全量为独立场次；不合并</x:v>
      </x:c>
    </x:row>
    <x:row r="16" ht="44" customHeight="1">
      <x:c r="A16" s="11" t="str">
        <x:v>15对原版：复测B（延长部分预热）</x:v>
      </x:c>
      <x:c r="B16" s="11" t="str">
        <x:v>C01</x:v>
      </x:c>
      <x:c r="C16" s="11" t="str">
        <x:v>original</x:v>
      </x:c>
      <x:c r="D16" s="11" t="str">
        <x:v>optimized</x:v>
      </x:c>
      <x:c r="E16" s="13" t="n">
        <x:f>SUMIFS('原始计时'!$E$5:$E$264,'原始计时'!$A$5:$A$264,"resource15-variance-B-context6",'原始计时'!$B$5:$B$264,"C01",'原始计时'!$C$5:$C$264,"original")/SUMIFS('原始计时'!$F$5:$F$264,'原始计时'!$A$5:$A$264,"resource15-variance-B-context6",'原始计时'!$B$5:$B$264,"C01",'原始计时'!$C$5:$C$264,"original")/1000000</x:f>
        <x:v>46.96546610731517</x:v>
      </x:c>
      <x:c r="F16" s="13" t="n">
        <x:f>SUMIFS('原始计时'!$E$5:$E$264,'原始计时'!$A$5:$A$264,"resource15-variance-B-context6",'原始计时'!$B$5:$B$264,"C01",'原始计时'!$C$5:$C$264,"optimized")/SUMIFS('原始计时'!$F$5:$F$264,'原始计时'!$A$5:$A$264,"resource15-variance-B-context6",'原始计时'!$B$5:$B$264,"C01",'原始计时'!$C$5:$C$264,"optimized")/1000000</x:f>
        <x:v>396.099161233834</x:v>
      </x:c>
      <x:c r="G16" s="14" t="n">
        <x:f>F16/E16-1</x:f>
        <x:v>7.433838606621196</x:v>
      </x:c>
      <x:c r="H16" s="14" t="n">
        <x:f>AVERAGEIFS('原始计时'!$G$5:$G$264,'原始计时'!$A$5:$A$264,"resource15-variance-B-context6",'原始计时'!$B$5:$B$264,"C01",'原始计时'!$C$5:$C$264,"optimized")/1000000/(AVERAGEIFS('原始计时'!$G$5:$G$264,'原始计时'!$A$5:$A$264,"resource15-variance-B-context6",'原始计时'!$B$5:$B$264,"C01",'原始计时'!$C$5:$C$264,"original")/1000000)-1</x:f>
        <x:v>7.433836532356379</x:v>
      </x:c>
      <x:c r="I16" s="14" t="n">
        <x:f>SUMIFS('原始计时'!$E$5:$E$264,'原始计时'!$A$5:$A$264,"resource15-variance-B-context6",'原始计时'!$B$5:$B$264,"C01",'原始计时'!$C$5:$C$264,"optimized",'原始计时'!$D$5:$D$264,1)/SUMIFS('原始计时'!$F$5:$F$264,'原始计时'!$A$5:$A$264,"resource15-variance-B-context6",'原始计时'!$B$5:$B$264,"C01",'原始计时'!$C$5:$C$264,"optimized",'原始计时'!$D$5:$D$264,1)/1000000/(SUMIFS('原始计时'!$E$5:$E$264,'原始计时'!$A$5:$A$264,"resource15-variance-B-context6",'原始计时'!$B$5:$B$264,"C01",'原始计时'!$C$5:$C$264,"original",'原始计时'!$D$5:$D$264,1)/SUMIFS('原始计时'!$F$5:$F$264,'原始计时'!$A$5:$A$264,"resource15-variance-B-context6",'原始计时'!$B$5:$B$264,"C01",'原始计时'!$C$5:$C$264,"original",'原始计时'!$D$5:$D$264,1)/1000000)-1</x:f>
        <x:v>7.54511818009729</x:v>
      </x:c>
      <x:c r="J16" s="14" t="n">
        <x:f>SUMIFS('原始计时'!$E$5:$E$264,'原始计时'!$A$5:$A$264,"resource15-variance-B-context6",'原始计时'!$B$5:$B$264,"C01",'原始计时'!$C$5:$C$264,"optimized",'原始计时'!$D$5:$D$264,2)/SUMIFS('原始计时'!$F$5:$F$264,'原始计时'!$A$5:$A$264,"resource15-variance-B-context6",'原始计时'!$B$5:$B$264,"C01",'原始计时'!$C$5:$C$264,"optimized",'原始计时'!$D$5:$D$264,2)/1000000/(SUMIFS('原始计时'!$E$5:$E$264,'原始计时'!$A$5:$A$264,"resource15-variance-B-context6",'原始计时'!$B$5:$B$264,"C01",'原始计时'!$C$5:$C$264,"original",'原始计时'!$D$5:$D$264,2)/SUMIFS('原始计时'!$F$5:$F$264,'原始计时'!$A$5:$A$264,"resource15-variance-B-context6",'原始计时'!$B$5:$B$264,"C01",'原始计时'!$C$5:$C$264,"original",'原始计时'!$D$5:$D$264,2)/1000000)-1</x:f>
        <x:v>7.323767231101861</x:v>
      </x:c>
      <x:c r="K16" s="11" t="str">
        <x:v>历史测量</x:v>
      </x:c>
      <x:c r="L16" s="11" t="str">
        <x:v>与旧全量为独立场次；不合并</x:v>
      </x:c>
    </x:row>
    <x:row r="17" ht="44" customHeight="1">
      <x:c r="A17" s="11" t="str">
        <x:v>15同DLL：消费方式诊断</x:v>
      </x:c>
      <x:c r="B17" s="11" t="str">
        <x:v>U01</x:v>
      </x:c>
      <x:c r="C17" s="11" t="str">
        <x:v>frame30</x:v>
      </x:c>
      <x:c r="D17" s="11" t="str">
        <x:v>frame60</x:v>
      </x:c>
      <x:c r="E17" s="13" t="n">
        <x:f>SUMIFS('原始计时'!$E$5:$E$264,'原始计时'!$A$5:$A$264,"resource15-same-dll-consumer-causality",'原始计时'!$B$5:$B$264,"U01",'原始计时'!$C$5:$C$264,"frame30")/SUMIFS('原始计时'!$F$5:$F$264,'原始计时'!$A$5:$A$264,"resource15-same-dll-consumer-causality",'原始计时'!$B$5:$B$264,"U01",'原始计时'!$C$5:$C$264,"frame30")/1000000</x:f>
        <x:v>36428.29425716328</x:v>
      </x:c>
      <x:c r="F17" s="13" t="n">
        <x:f>SUMIFS('原始计时'!$E$5:$E$264,'原始计时'!$A$5:$A$264,"resource15-same-dll-consumer-causality",'原始计时'!$B$5:$B$264,"U01",'原始计时'!$C$5:$C$264,"frame60")/SUMIFS('原始计时'!$F$5:$F$264,'原始计时'!$A$5:$A$264,"resource15-same-dll-consumer-causality",'原始计时'!$B$5:$B$264,"U01",'原始计时'!$C$5:$C$264,"frame60")/1000000</x:f>
        <x:v>35318.85711629881</x:v>
      </x:c>
      <x:c r="G17" s="14" t="n">
        <x:f>F17/E17-1</x:f>
        <x:v>-0.030455368923740123</x:v>
      </x:c>
      <x:c r="H17" s="14" t="n">
        <x:f>AVERAGEIFS('原始计时'!$G$5:$G$264,'原始计时'!$A$5:$A$264,"resource15-same-dll-consumer-causality",'原始计时'!$B$5:$B$264,"U01",'原始计时'!$C$5:$C$264,"frame60")/1000000/(AVERAGEIFS('原始计时'!$G$5:$G$264,'原始计时'!$A$5:$A$264,"resource15-same-dll-consumer-causality",'原始计时'!$B$5:$B$264,"U01",'原始计时'!$C$5:$C$264,"frame30")/1000000)-1</x:f>
        <x:v>-0.030455107781967472</x:v>
      </x:c>
      <x:c r="I17" s="14" t="n">
        <x:f>SUMIFS('原始计时'!$E$5:$E$264,'原始计时'!$A$5:$A$264,"resource15-same-dll-consumer-causality",'原始计时'!$B$5:$B$264,"U01",'原始计时'!$C$5:$C$264,"frame60",'原始计时'!$D$5:$D$264,1)/SUMIFS('原始计时'!$F$5:$F$264,'原始计时'!$A$5:$A$264,"resource15-same-dll-consumer-causality",'原始计时'!$B$5:$B$264,"U01",'原始计时'!$C$5:$C$264,"frame60",'原始计时'!$D$5:$D$264,1)/1000000/(SUMIFS('原始计时'!$E$5:$E$264,'原始计时'!$A$5:$A$264,"resource15-same-dll-consumer-causality",'原始计时'!$B$5:$B$264,"U01",'原始计时'!$C$5:$C$264,"frame30",'原始计时'!$D$5:$D$264,1)/SUMIFS('原始计时'!$F$5:$F$264,'原始计时'!$A$5:$A$264,"resource15-same-dll-consumer-causality",'原始计时'!$B$5:$B$264,"U01",'原始计时'!$C$5:$C$264,"frame30",'原始计时'!$D$5:$D$264,1)/1000000)-1</x:f>
        <x:v>-0.02713175149957614</x:v>
      </x:c>
      <x:c r="J17" s="14" t="n">
        <x:f>SUMIFS('原始计时'!$E$5:$E$264,'原始计时'!$A$5:$A$264,"resource15-same-dll-consumer-causality",'原始计时'!$B$5:$B$264,"U01",'原始计时'!$C$5:$C$264,"frame60",'原始计时'!$D$5:$D$264,2)/SUMIFS('原始计时'!$F$5:$F$264,'原始计时'!$A$5:$A$264,"resource15-same-dll-consumer-causality",'原始计时'!$B$5:$B$264,"U01",'原始计时'!$C$5:$C$264,"frame60",'原始计时'!$D$5:$D$264,2)/1000000/(SUMIFS('原始计时'!$E$5:$E$264,'原始计时'!$A$5:$A$264,"resource15-same-dll-consumer-causality",'原始计时'!$B$5:$B$264,"U01",'原始计时'!$C$5:$C$264,"frame30",'原始计时'!$D$5:$D$264,2)/SUMIFS('原始计时'!$F$5:$F$264,'原始计时'!$A$5:$A$264,"resource15-same-dll-consumer-causality",'原始计时'!$B$5:$B$264,"U01",'原始计时'!$C$5:$C$264,"frame30",'原始计时'!$D$5:$D$264,2)/1000000)-1</x:f>
        <x:v>-0.03380162987038393</x:v>
      </x:c>
      <x:c r="K17" s="11" t="str">
        <x:v>历史测量</x:v>
      </x:c>
      <x:c r="L17" s="11" t="str">
        <x:v>同DLL/接收器诊断；非完整UI</x:v>
      </x:c>
    </x:row>
    <x:row r="18" ht="44" customHeight="1">
      <x:c r="A18" s="11" t="str">
        <x:v>15同DLL：消费方式诊断</x:v>
      </x:c>
      <x:c r="B18" s="11" t="str">
        <x:v>U01</x:v>
      </x:c>
      <x:c r="C18" s="11" t="str">
        <x:v>frame30</x:v>
      </x:c>
      <x:c r="D18" s="11" t="str">
        <x:v>continuous30</x:v>
      </x:c>
      <x:c r="E18" s="13" t="n">
        <x:f>SUMIFS('原始计时'!$E$5:$E$264,'原始计时'!$A$5:$A$264,"resource15-same-dll-consumer-causality",'原始计时'!$B$5:$B$264,"U01",'原始计时'!$C$5:$C$264,"frame30")/SUMIFS('原始计时'!$F$5:$F$264,'原始计时'!$A$5:$A$264,"resource15-same-dll-consumer-causality",'原始计时'!$B$5:$B$264,"U01",'原始计时'!$C$5:$C$264,"frame30")/1000000</x:f>
        <x:v>36428.29425716328</x:v>
      </x:c>
      <x:c r="F18" s="13" t="n">
        <x:f>SUMIFS('原始计时'!$E$5:$E$264,'原始计时'!$A$5:$A$264,"resource15-same-dll-consumer-causality",'原始计时'!$B$5:$B$264,"U01",'原始计时'!$C$5:$C$264,"continuous30")/SUMIFS('原始计时'!$F$5:$F$264,'原始计时'!$A$5:$A$264,"resource15-same-dll-consumer-causality",'原始计时'!$B$5:$B$264,"U01",'原始计时'!$C$5:$C$264,"continuous30")/1000000</x:f>
        <x:v>36319.15408207535</x:v>
      </x:c>
      <x:c r="G18" s="14" t="n">
        <x:f>F18/E18-1</x:f>
        <x:v>-0.002996027601991469</x:v>
      </x:c>
      <x:c r="H18" s="14" t="n">
        <x:f>AVERAGEIFS('原始计时'!$G$5:$G$264,'原始计时'!$A$5:$A$264,"resource15-same-dll-consumer-causality",'原始计时'!$B$5:$B$264,"U01",'原始计时'!$C$5:$C$264,"continuous30")/1000000/(AVERAGEIFS('原始计时'!$G$5:$G$264,'原始计时'!$A$5:$A$264,"resource15-same-dll-consumer-causality",'原始计时'!$B$5:$B$264,"U01",'原始计时'!$C$5:$C$264,"frame30")/1000000)-1</x:f>
        <x:v>-0.002996228659501554</x:v>
      </x:c>
      <x:c r="I18" s="14" t="n">
        <x:f>SUMIFS('原始计时'!$E$5:$E$264,'原始计时'!$A$5:$A$264,"resource15-same-dll-consumer-causality",'原始计时'!$B$5:$B$264,"U01",'原始计时'!$C$5:$C$264,"continuous30",'原始计时'!$D$5:$D$264,1)/SUMIFS('原始计时'!$F$5:$F$264,'原始计时'!$A$5:$A$264,"resource15-same-dll-consumer-causality",'原始计时'!$B$5:$B$264,"U01",'原始计时'!$C$5:$C$264,"continuous30",'原始计时'!$D$5:$D$264,1)/1000000/(SUMIFS('原始计时'!$E$5:$E$264,'原始计时'!$A$5:$A$264,"resource15-same-dll-consumer-causality",'原始计时'!$B$5:$B$264,"U01",'原始计时'!$C$5:$C$264,"frame30",'原始计时'!$D$5:$D$264,1)/SUMIFS('原始计时'!$F$5:$F$264,'原始计时'!$A$5:$A$264,"resource15-same-dll-consumer-causality",'原始计时'!$B$5:$B$264,"U01",'原始计时'!$C$5:$C$264,"frame30",'原始计时'!$D$5:$D$264,1)/1000000)-1</x:f>
        <x:v>0.003022222688343623</x:v>
      </x:c>
      <x:c r="J18" s="14" t="n">
        <x:f>SUMIFS('原始计时'!$E$5:$E$264,'原始计时'!$A$5:$A$264,"resource15-same-dll-consumer-causality",'原始计时'!$B$5:$B$264,"U01",'原始计时'!$C$5:$C$264,"continuous30",'原始计时'!$D$5:$D$264,2)/SUMIFS('原始计时'!$F$5:$F$264,'原始计时'!$A$5:$A$264,"resource15-same-dll-consumer-causality",'原始计时'!$B$5:$B$264,"U01",'原始计时'!$C$5:$C$264,"continuous30",'原始计时'!$D$5:$D$264,2)/1000000/(SUMIFS('原始计时'!$E$5:$E$264,'原始计时'!$A$5:$A$264,"resource15-same-dll-consumer-causality",'原始计时'!$B$5:$B$264,"U01",'原始计时'!$C$5:$C$264,"frame30",'原始计时'!$D$5:$D$264,2)/SUMIFS('原始计时'!$F$5:$F$264,'原始计时'!$A$5:$A$264,"resource15-same-dll-consumer-causality",'原始计时'!$B$5:$B$264,"U01",'原始计时'!$C$5:$C$264,"frame30",'原始计时'!$D$5:$D$264,2)/1000000)-1</x:f>
        <x:v>-0.0090566322582194</x:v>
      </x:c>
      <x:c r="K18" s="11" t="str">
        <x:v>历史测量</x:v>
      </x:c>
      <x:c r="L18" s="11" t="str">
        <x:v>同DLL/接收器诊断；非完整UI</x:v>
      </x:c>
    </x:row>
    <x:row r="19" ht="44" customHeight="1">
      <x:c r="A19" s="11" t="str">
        <x:v>15同DLL：消费方式诊断</x:v>
      </x:c>
      <x:c r="B19" s="11" t="str">
        <x:v>F03</x:v>
      </x:c>
      <x:c r="C19" s="11" t="str">
        <x:v>frame30</x:v>
      </x:c>
      <x:c r="D19" s="11" t="str">
        <x:v>frame60</x:v>
      </x:c>
      <x:c r="E19" s="13" t="n">
        <x:f>SUMIFS('原始计时'!$E$5:$E$264,'原始计时'!$A$5:$A$264,"resource15-same-dll-consumer-causality",'原始计时'!$B$5:$B$264,"F03",'原始计时'!$C$5:$C$264,"frame30")/SUMIFS('原始计时'!$F$5:$F$264,'原始计时'!$A$5:$A$264,"resource15-same-dll-consumer-causality",'原始计时'!$B$5:$B$264,"F03",'原始计时'!$C$5:$C$264,"frame30")/1000000</x:f>
        <x:v>1.0147728150297959</x:v>
      </x:c>
      <x:c r="F19" s="13" t="n">
        <x:f>SUMIFS('原始计时'!$E$5:$E$264,'原始计时'!$A$5:$A$264,"resource15-same-dll-consumer-causality",'原始计时'!$B$5:$B$264,"F03",'原始计时'!$C$5:$C$264,"frame60")/SUMIFS('原始计时'!$F$5:$F$264,'原始计时'!$A$5:$A$264,"resource15-same-dll-consumer-causality",'原始计时'!$B$5:$B$264,"F03",'原始计时'!$C$5:$C$264,"frame60")/1000000</x:f>
        <x:v>1.9914842925939165</x:v>
      </x:c>
      <x:c r="G19" s="14" t="n">
        <x:f>F19/E19-1</x:f>
        <x:v>0.962492750197927</x:v>
      </x:c>
      <x:c r="H19" s="14" t="n">
        <x:f>AVERAGEIFS('原始计时'!$G$5:$G$264,'原始计时'!$A$5:$A$264,"resource15-same-dll-consumer-causality",'原始计时'!$B$5:$B$264,"F03",'原始计时'!$C$5:$C$264,"frame60")/1000000/(AVERAGEIFS('原始计时'!$G$5:$G$264,'原始计时'!$A$5:$A$264,"resource15-same-dll-consumer-causality",'原始计时'!$B$5:$B$264,"F03",'原始计时'!$C$5:$C$264,"frame30")/1000000)-1</x:f>
        <x:v>0.9624714021426597</x:v>
      </x:c>
      <x:c r="I19" s="14" t="n">
        <x:f>SUMIFS('原始计时'!$E$5:$E$264,'原始计时'!$A$5:$A$264,"resource15-same-dll-consumer-causality",'原始计时'!$B$5:$B$264,"F03",'原始计时'!$C$5:$C$264,"frame60",'原始计时'!$D$5:$D$264,1)/SUMIFS('原始计时'!$F$5:$F$264,'原始计时'!$A$5:$A$264,"resource15-same-dll-consumer-causality",'原始计时'!$B$5:$B$264,"F03",'原始计时'!$C$5:$C$264,"frame60",'原始计时'!$D$5:$D$264,1)/1000000/(SUMIFS('原始计时'!$E$5:$E$264,'原始计时'!$A$5:$A$264,"resource15-same-dll-consumer-causality",'原始计时'!$B$5:$B$264,"F03",'原始计时'!$C$5:$C$264,"frame30",'原始计时'!$D$5:$D$264,1)/SUMIFS('原始计时'!$F$5:$F$264,'原始计时'!$A$5:$A$264,"resource15-same-dll-consumer-causality",'原始计时'!$B$5:$B$264,"F03",'原始计时'!$C$5:$C$264,"frame30",'原始计时'!$D$5:$D$264,1)/1000000)-1</x:f>
        <x:v>0.9290264201204648</x:v>
      </x:c>
      <x:c r="J19" s="14" t="n">
        <x:f>SUMIFS('原始计时'!$E$5:$E$264,'原始计时'!$A$5:$A$264,"resource15-same-dll-consumer-causality",'原始计时'!$B$5:$B$264,"F03",'原始计时'!$C$5:$C$264,"frame60",'原始计时'!$D$5:$D$264,2)/SUMIFS('原始计时'!$F$5:$F$264,'原始计时'!$A$5:$A$264,"resource15-same-dll-consumer-causality",'原始计时'!$B$5:$B$264,"F03",'原始计时'!$C$5:$C$264,"frame60",'原始计时'!$D$5:$D$264,2)/1000000/(SUMIFS('原始计时'!$E$5:$E$264,'原始计时'!$A$5:$A$264,"resource15-same-dll-consumer-causality",'原始计时'!$B$5:$B$264,"F03",'原始计时'!$C$5:$C$264,"frame30",'原始计时'!$D$5:$D$264,2)/SUMIFS('原始计时'!$F$5:$F$264,'原始计时'!$A$5:$A$264,"resource15-same-dll-consumer-causality",'原始计时'!$B$5:$B$264,"F03",'原始计时'!$C$5:$C$264,"frame30",'原始计时'!$D$5:$D$264,2)/1000000)-1</x:f>
        <x:v>0.9968995726970962</x:v>
      </x:c>
      <x:c r="K19" s="11" t="str">
        <x:v>历史测量</x:v>
      </x:c>
      <x:c r="L19" s="11" t="str">
        <x:v>同DLL/接收器诊断；非完整UI</x:v>
      </x:c>
    </x:row>
    <x:row r="20" ht="44" customHeight="1">
      <x:c r="A20" s="11" t="str">
        <x:v>15同DLL：消费方式诊断</x:v>
      </x:c>
      <x:c r="B20" s="11" t="str">
        <x:v>F03</x:v>
      </x:c>
      <x:c r="C20" s="11" t="str">
        <x:v>frame30</x:v>
      </x:c>
      <x:c r="D20" s="11" t="str">
        <x:v>continuous30</x:v>
      </x:c>
      <x:c r="E20" s="13" t="n">
        <x:f>SUMIFS('原始计时'!$E$5:$E$264,'原始计时'!$A$5:$A$264,"resource15-same-dll-consumer-causality",'原始计时'!$B$5:$B$264,"F03",'原始计时'!$C$5:$C$264,"frame30")/SUMIFS('原始计时'!$F$5:$F$264,'原始计时'!$A$5:$A$264,"resource15-same-dll-consumer-causality",'原始计时'!$B$5:$B$264,"F03",'原始计时'!$C$5:$C$264,"frame30")/1000000</x:f>
        <x:v>1.0147728150297959</x:v>
      </x:c>
      <x:c r="F20" s="13" t="n">
        <x:f>SUMIFS('原始计时'!$E$5:$E$264,'原始计时'!$A$5:$A$264,"resource15-same-dll-consumer-causality",'原始计时'!$B$5:$B$264,"F03",'原始计时'!$C$5:$C$264,"continuous30")/SUMIFS('原始计时'!$F$5:$F$264,'原始计时'!$A$5:$A$264,"resource15-same-dll-consumer-causality",'原始计时'!$B$5:$B$264,"F03",'原始计时'!$C$5:$C$264,"continuous30")/1000000</x:f>
        <x:v>5.15106422036824</x:v>
      </x:c>
      <x:c r="G20" s="14" t="n">
        <x:f>F20/E20-1</x:f>
        <x:v>4.0760762843425145</x:v>
      </x:c>
      <x:c r="H20" s="14" t="n">
        <x:f>AVERAGEIFS('原始计时'!$G$5:$G$264,'原始计时'!$A$5:$A$264,"resource15-same-dll-consumer-causality",'原始计时'!$B$5:$B$264,"F03",'原始计时'!$C$5:$C$264,"continuous30")/1000000/(AVERAGEIFS('原始计时'!$G$5:$G$264,'原始计时'!$A$5:$A$264,"resource15-same-dll-consumer-causality",'原始计时'!$B$5:$B$264,"F03",'原始计时'!$C$5:$C$264,"frame30")/1000000)-1</x:f>
        <x:v>4.076017163473109</x:v>
      </x:c>
      <x:c r="I20" s="14" t="n">
        <x:f>SUMIFS('原始计时'!$E$5:$E$264,'原始计时'!$A$5:$A$264,"resource15-same-dll-consumer-causality",'原始计时'!$B$5:$B$264,"F03",'原始计时'!$C$5:$C$264,"continuous30",'原始计时'!$D$5:$D$264,1)/SUMIFS('原始计时'!$F$5:$F$264,'原始计时'!$A$5:$A$264,"resource15-same-dll-consumer-causality",'原始计时'!$B$5:$B$264,"F03",'原始计时'!$C$5:$C$264,"continuous30",'原始计时'!$D$5:$D$264,1)/1000000/(SUMIFS('原始计时'!$E$5:$E$264,'原始计时'!$A$5:$A$264,"resource15-same-dll-consumer-causality",'原始计时'!$B$5:$B$264,"F03",'原始计时'!$C$5:$C$264,"frame30",'原始计时'!$D$5:$D$264,1)/SUMIFS('原始计时'!$F$5:$F$264,'原始计时'!$A$5:$A$264,"resource15-same-dll-consumer-causality",'原始计时'!$B$5:$B$264,"F03",'原始计时'!$C$5:$C$264,"frame30",'原始计时'!$D$5:$D$264,1)/1000000)-1</x:f>
        <x:v>3.965211595403254</x:v>
      </x:c>
      <x:c r="J20" s="14" t="n">
        <x:f>SUMIFS('原始计时'!$E$5:$E$264,'原始计时'!$A$5:$A$264,"resource15-same-dll-consumer-causality",'原始计时'!$B$5:$B$264,"F03",'原始计时'!$C$5:$C$264,"continuous30",'原始计时'!$D$5:$D$264,2)/SUMIFS('原始计时'!$F$5:$F$264,'原始计时'!$A$5:$A$264,"resource15-same-dll-consumer-causality",'原始计时'!$B$5:$B$264,"F03",'原始计时'!$C$5:$C$264,"continuous30",'原始计时'!$D$5:$D$264,2)/1000000/(SUMIFS('原始计时'!$E$5:$E$264,'原始计时'!$A$5:$A$264,"resource15-same-dll-consumer-causality",'原始计时'!$B$5:$B$264,"F03",'原始计时'!$C$5:$C$264,"frame30",'原始计时'!$D$5:$D$264,2)/SUMIFS('原始计时'!$F$5:$F$264,'原始计时'!$A$5:$A$264,"resource15-same-dll-consumer-causality",'原始计时'!$B$5:$B$264,"F03",'原始计时'!$C$5:$C$264,"frame30",'原始计时'!$D$5:$D$264,2)/1000000)-1</x:f>
        <x:v>4.190080104017033</x:v>
      </x:c>
      <x:c r="K20" s="11" t="str">
        <x:v>历史测量</x:v>
      </x:c>
      <x:c r="L20" s="11" t="str">
        <x:v>同DLL/接收器诊断；非完整UI</x:v>
      </x:c>
    </x:row>
    <x:row r="21" ht="44" customHeight="1">
      <x:c r="A21" s="11" t="str">
        <x:v>15同DLL：消费方式诊断</x:v>
      </x:c>
      <x:c r="B21" s="11" t="str">
        <x:v>F06</x:v>
      </x:c>
      <x:c r="C21" s="11" t="str">
        <x:v>frame30</x:v>
      </x:c>
      <x:c r="D21" s="11" t="str">
        <x:v>frame60</x:v>
      </x:c>
      <x:c r="E21" s="13" t="n">
        <x:f>SUMIFS('原始计时'!$E$5:$E$264,'原始计时'!$A$5:$A$264,"resource15-same-dll-consumer-causality",'原始计时'!$B$5:$B$264,"F06",'原始计时'!$C$5:$C$264,"frame30")/SUMIFS('原始计时'!$F$5:$F$264,'原始计时'!$A$5:$A$264,"resource15-same-dll-consumer-causality",'原始计时'!$B$5:$B$264,"F06",'原始计时'!$C$5:$C$264,"frame30")/1000000</x:f>
        <x:v>1.4392196438217</x:v>
      </x:c>
      <x:c r="F21" s="13" t="n">
        <x:f>SUMIFS('原始计时'!$E$5:$E$264,'原始计时'!$A$5:$A$264,"resource15-same-dll-consumer-causality",'原始计时'!$B$5:$B$264,"F06",'原始计时'!$C$5:$C$264,"frame60")/SUMIFS('原始计时'!$F$5:$F$264,'原始计时'!$A$5:$A$264,"resource15-same-dll-consumer-causality",'原始计时'!$B$5:$B$264,"F06",'原始计时'!$C$5:$C$264,"frame60")/1000000</x:f>
        <x:v>2.834388738022851</x:v>
      </x:c>
      <x:c r="G21" s="14" t="n">
        <x:f>F21/E21-1</x:f>
        <x:v>0.9693927540458125</x:v>
      </x:c>
      <x:c r="H21" s="14" t="n">
        <x:f>AVERAGEIFS('原始计时'!$G$5:$G$264,'原始计时'!$A$5:$A$264,"resource15-same-dll-consumer-causality",'原始计时'!$B$5:$B$264,"F06",'原始计时'!$C$5:$C$264,"frame60")/1000000/(AVERAGEIFS('原始计时'!$G$5:$G$264,'原始计时'!$A$5:$A$264,"resource15-same-dll-consumer-causality",'原始计时'!$B$5:$B$264,"F06",'原始计时'!$C$5:$C$264,"frame30")/1000000)-1</x:f>
        <x:v>0.969393278463381</x:v>
      </x:c>
      <x:c r="I21" s="14" t="n">
        <x:f>SUMIFS('原始计时'!$E$5:$E$264,'原始计时'!$A$5:$A$264,"resource15-same-dll-consumer-causality",'原始计时'!$B$5:$B$264,"F06",'原始计时'!$C$5:$C$264,"frame60",'原始计时'!$D$5:$D$264,1)/SUMIFS('原始计时'!$F$5:$F$264,'原始计时'!$A$5:$A$264,"resource15-same-dll-consumer-causality",'原始计时'!$B$5:$B$264,"F06",'原始计时'!$C$5:$C$264,"frame60",'原始计时'!$D$5:$D$264,1)/1000000/(SUMIFS('原始计时'!$E$5:$E$264,'原始计时'!$A$5:$A$264,"resource15-same-dll-consumer-causality",'原始计时'!$B$5:$B$264,"F06",'原始计时'!$C$5:$C$264,"frame30",'原始计时'!$D$5:$D$264,1)/SUMIFS('原始计时'!$F$5:$F$264,'原始计时'!$A$5:$A$264,"resource15-same-dll-consumer-causality",'原始计时'!$B$5:$B$264,"F06",'原始计时'!$C$5:$C$264,"frame30",'原始计时'!$D$5:$D$264,1)/1000000)-1</x:f>
        <x:v>0.9540350287052766</x:v>
      </x:c>
      <x:c r="J21" s="14" t="n">
        <x:f>SUMIFS('原始计时'!$E$5:$E$264,'原始计时'!$A$5:$A$264,"resource15-same-dll-consumer-causality",'原始计时'!$B$5:$B$264,"F06",'原始计时'!$C$5:$C$264,"frame60",'原始计时'!$D$5:$D$264,2)/SUMIFS('原始计时'!$F$5:$F$264,'原始计时'!$A$5:$A$264,"resource15-same-dll-consumer-causality",'原始计时'!$B$5:$B$264,"F06",'原始计时'!$C$5:$C$264,"frame60",'原始计时'!$D$5:$D$264,2)/1000000/(SUMIFS('原始计时'!$E$5:$E$264,'原始计时'!$A$5:$A$264,"resource15-same-dll-consumer-causality",'原始计时'!$B$5:$B$264,"F06",'原始计时'!$C$5:$C$264,"frame30",'原始计时'!$D$5:$D$264,2)/SUMIFS('原始计时'!$F$5:$F$264,'原始计时'!$A$5:$A$264,"resource15-same-dll-consumer-causality",'原始计时'!$B$5:$B$264,"F06",'原始计时'!$C$5:$C$264,"frame30",'原始计时'!$D$5:$D$264,2)/1000000)-1</x:f>
        <x:v>0.9849797568460545</x:v>
      </x:c>
      <x:c r="K21" s="11" t="str">
        <x:v>历史测量</x:v>
      </x:c>
      <x:c r="L21" s="11" t="str">
        <x:v>同DLL/接收器诊断；非完整UI</x:v>
      </x:c>
    </x:row>
    <x:row r="22" ht="44" customHeight="1">
      <x:c r="A22" s="11" t="str">
        <x:v>15同DLL：消费方式诊断</x:v>
      </x:c>
      <x:c r="B22" s="11" t="str">
        <x:v>F06</x:v>
      </x:c>
      <x:c r="C22" s="11" t="str">
        <x:v>frame30</x:v>
      </x:c>
      <x:c r="D22" s="11" t="str">
        <x:v>continuous30</x:v>
      </x:c>
      <x:c r="E22" s="13" t="n">
        <x:f>SUMIFS('原始计时'!$E$5:$E$264,'原始计时'!$A$5:$A$264,"resource15-same-dll-consumer-causality",'原始计时'!$B$5:$B$264,"F06",'原始计时'!$C$5:$C$264,"frame30")/SUMIFS('原始计时'!$F$5:$F$264,'原始计时'!$A$5:$A$264,"resource15-same-dll-consumer-causality",'原始计时'!$B$5:$B$264,"F06",'原始计时'!$C$5:$C$264,"frame30")/1000000</x:f>
        <x:v>1.4392196438217</x:v>
      </x:c>
      <x:c r="F22" s="13" t="n">
        <x:f>SUMIFS('原始计时'!$E$5:$E$264,'原始计时'!$A$5:$A$264,"resource15-same-dll-consumer-causality",'原始计时'!$B$5:$B$264,"F06",'原始计时'!$C$5:$C$264,"continuous30")/SUMIFS('原始计时'!$F$5:$F$264,'原始计时'!$A$5:$A$264,"resource15-same-dll-consumer-causality",'原始计时'!$B$5:$B$264,"F06",'原始计时'!$C$5:$C$264,"continuous30")/1000000</x:f>
        <x:v>9.428572899934597</x:v>
      </x:c>
      <x:c r="G22" s="14" t="n">
        <x:f>F22/E22-1</x:f>
        <x:v>5.551170240351911</x:v>
      </x:c>
      <x:c r="H22" s="14" t="n">
        <x:f>AVERAGEIFS('原始计时'!$G$5:$G$264,'原始计时'!$A$5:$A$264,"resource15-same-dll-consumer-causality",'原始计时'!$B$5:$B$264,"F06",'原始计时'!$C$5:$C$264,"continuous30")/1000000/(AVERAGEIFS('原始计时'!$G$5:$G$264,'原始计时'!$A$5:$A$264,"resource15-same-dll-consumer-causality",'原始计时'!$B$5:$B$264,"F06",'原始计时'!$C$5:$C$264,"frame30")/1000000)-1</x:f>
        <x:v>5.551171275091163</x:v>
      </x:c>
      <x:c r="I22" s="14" t="n">
        <x:f>SUMIFS('原始计时'!$E$5:$E$264,'原始计时'!$A$5:$A$264,"resource15-same-dll-consumer-causality",'原始计时'!$B$5:$B$264,"F06",'原始计时'!$C$5:$C$264,"continuous30",'原始计时'!$D$5:$D$264,1)/SUMIFS('原始计时'!$F$5:$F$264,'原始计时'!$A$5:$A$264,"resource15-same-dll-consumer-causality",'原始计时'!$B$5:$B$264,"F06",'原始计时'!$C$5:$C$264,"continuous30",'原始计时'!$D$5:$D$264,1)/1000000/(SUMIFS('原始计时'!$E$5:$E$264,'原始计时'!$A$5:$A$264,"resource15-same-dll-consumer-causality",'原始计时'!$B$5:$B$264,"F06",'原始计时'!$C$5:$C$264,"frame30",'原始计时'!$D$5:$D$264,1)/SUMIFS('原始计时'!$F$5:$F$264,'原始计时'!$A$5:$A$264,"resource15-same-dll-consumer-causality",'原始计时'!$B$5:$B$264,"F06",'原始计时'!$C$5:$C$264,"frame30",'原始计时'!$D$5:$D$264,1)/1000000)-1</x:f>
        <x:v>5.498261284668901</x:v>
      </x:c>
      <x:c r="J22" s="14" t="n">
        <x:f>SUMIFS('原始计时'!$E$5:$E$264,'原始计时'!$A$5:$A$264,"resource15-same-dll-consumer-causality",'原始计时'!$B$5:$B$264,"F06",'原始计时'!$C$5:$C$264,"continuous30",'原始计时'!$D$5:$D$264,2)/SUMIFS('原始计时'!$F$5:$F$264,'原始计时'!$A$5:$A$264,"resource15-same-dll-consumer-causality",'原始计时'!$B$5:$B$264,"F06",'原始计时'!$C$5:$C$264,"continuous30",'原始计时'!$D$5:$D$264,2)/1000000/(SUMIFS('原始计时'!$E$5:$E$264,'原始计时'!$A$5:$A$264,"resource15-same-dll-consumer-causality",'原始计时'!$B$5:$B$264,"F06",'原始计时'!$C$5:$C$264,"frame30",'原始计时'!$D$5:$D$264,2)/SUMIFS('原始计时'!$F$5:$F$264,'原始计时'!$A$5:$A$264,"resource15-same-dll-consumer-causality",'原始计时'!$B$5:$B$264,"F06",'原始计时'!$C$5:$C$264,"frame30",'原始计时'!$D$5:$D$264,2)/1000000)-1</x:f>
        <x:v>5.604867525310619</x:v>
      </x:c>
      <x:c r="K22" s="11" t="str">
        <x:v>历史测量</x:v>
      </x:c>
      <x:c r="L22" s="11" t="str">
        <x:v>同DLL/接收器诊断；非完整UI</x:v>
      </x:c>
    </x:row>
    <x:row r="23" ht="44" customHeight="1">
      <x:c r="A23" s="11" t="str">
        <x:v>16公平读取：三版本对照</x:v>
      </x:c>
      <x:c r="B23" s="11" t="str">
        <x:v>F02</x:v>
      </x:c>
      <x:c r="C23" s="11" t="str">
        <x:v>original</x:v>
      </x:c>
      <x:c r="D23" s="11" t="str">
        <x:v>resource15</x:v>
      </x:c>
      <x:c r="E23" s="13" t="n">
        <x:f>SUMIFS('原始计时'!$E$5:$E$264,'原始计时'!$A$5:$A$264,"resource16-fair-three-version",'原始计时'!$B$5:$B$264,"F02",'原始计时'!$C$5:$C$264,"original")/SUMIFS('原始计时'!$F$5:$F$264,'原始计时'!$A$5:$A$264,"resource16-fair-three-version",'原始计时'!$B$5:$B$264,"F02",'原始计时'!$C$5:$C$264,"original")/1000000</x:f>
        <x:v>0.2561109686550491</x:v>
      </x:c>
      <x:c r="F23" s="13" t="n">
        <x:f>SUMIFS('原始计时'!$E$5:$E$264,'原始计时'!$A$5:$A$264,"resource16-fair-three-version",'原始计时'!$B$5:$B$264,"F02",'原始计时'!$C$5:$C$264,"resource15")/SUMIFS('原始计时'!$F$5:$F$264,'原始计时'!$A$5:$A$264,"resource16-fair-three-version",'原始计时'!$B$5:$B$264,"F02",'原始计时'!$C$5:$C$264,"resource15")/1000000</x:f>
        <x:v>0.26075384425623205</x:v>
      </x:c>
      <x:c r="G23" s="14" t="n">
        <x:f>F23/E23-1</x:f>
        <x:v>0.01812837468681905</x:v>
      </x:c>
      <x:c r="H23" s="14" t="n">
        <x:f>AVERAGEIFS('原始计时'!$G$5:$G$264,'原始计时'!$A$5:$A$264,"resource16-fair-three-version",'原始计时'!$B$5:$B$264,"F02",'原始计时'!$C$5:$C$264,"resource15")/1000000/(AVERAGEIFS('原始计时'!$G$5:$G$264,'原始计时'!$A$5:$A$264,"resource16-fair-three-version",'原始计时'!$B$5:$B$264,"F02",'原始计时'!$C$5:$C$264,"original")/1000000)-1</x:f>
        <x:v>0.018146928198579104</x:v>
      </x:c>
      <x:c r="I23" s="14" t="n">
        <x:f>SUMIFS('原始计时'!$E$5:$E$264,'原始计时'!$A$5:$A$264,"resource16-fair-three-version",'原始计时'!$B$5:$B$264,"F02",'原始计时'!$C$5:$C$264,"resource15",'原始计时'!$D$5:$D$264,1)/SUMIFS('原始计时'!$F$5:$F$264,'原始计时'!$A$5:$A$264,"resource16-fair-three-version",'原始计时'!$B$5:$B$264,"F02",'原始计时'!$C$5:$C$264,"resource15",'原始计时'!$D$5:$D$264,1)/1000000/(SUMIFS('原始计时'!$E$5:$E$264,'原始计时'!$A$5:$A$264,"resource16-fair-three-version",'原始计时'!$B$5:$B$264,"F02",'原始计时'!$C$5:$C$264,"original",'原始计时'!$D$5:$D$264,1)/SUMIFS('原始计时'!$F$5:$F$264,'原始计时'!$A$5:$A$264,"resource16-fair-three-version",'原始计时'!$B$5:$B$264,"F02",'原始计时'!$C$5:$C$264,"original",'原始计时'!$D$5:$D$264,1)/1000000)-1</x:f>
        <x:v>-0.02966800688618032</x:v>
      </x:c>
      <x:c r="J23" s="14" t="n">
        <x:f>SUMIFS('原始计时'!$E$5:$E$264,'原始计时'!$A$5:$A$264,"resource16-fair-three-version",'原始计时'!$B$5:$B$264,"F02",'原始计时'!$C$5:$C$264,"resource15",'原始计时'!$D$5:$D$264,2)/SUMIFS('原始计时'!$F$5:$F$264,'原始计时'!$A$5:$A$264,"resource16-fair-three-version",'原始计时'!$B$5:$B$264,"F02",'原始计时'!$C$5:$C$264,"resource15",'原始计时'!$D$5:$D$264,2)/1000000/(SUMIFS('原始计时'!$E$5:$E$264,'原始计时'!$A$5:$A$264,"resource16-fair-three-version",'原始计时'!$B$5:$B$264,"F02",'原始计时'!$C$5:$C$264,"original",'原始计时'!$D$5:$D$264,2)/SUMIFS('原始计时'!$F$5:$F$264,'原始计时'!$A$5:$A$264,"resource16-fair-three-version",'原始计时'!$B$5:$B$264,"F02",'原始计时'!$C$5:$C$264,"original",'原始计时'!$D$5:$D$264,2)/1000000)-1</x:f>
        <x:v>0.06531162946653568</x:v>
      </x:c>
      <x:c r="K23" s="11" t="str">
        <x:v>历史测量</x:v>
      </x:c>
      <x:c r="L23" s="11" t="str">
        <x:v>同次公平读取；不混旧逐帧协议</x:v>
      </x:c>
    </x:row>
    <x:row r="24" ht="44" customHeight="1">
      <x:c r="A24" s="11" t="str">
        <x:v>16公平读取：三版本对照</x:v>
      </x:c>
      <x:c r="B24" s="11" t="str">
        <x:v>F02</x:v>
      </x:c>
      <x:c r="C24" s="11" t="str">
        <x:v>original</x:v>
      </x:c>
      <x:c r="D24" s="11" t="str">
        <x:v>resource16</x:v>
      </x:c>
      <x:c r="E24" s="13" t="n">
        <x:f>SUMIFS('原始计时'!$E$5:$E$264,'原始计时'!$A$5:$A$264,"resource16-fair-three-version",'原始计时'!$B$5:$B$264,"F02",'原始计时'!$C$5:$C$264,"original")/SUMIFS('原始计时'!$F$5:$F$264,'原始计时'!$A$5:$A$264,"resource16-fair-three-version",'原始计时'!$B$5:$B$264,"F02",'原始计时'!$C$5:$C$264,"original")/1000000</x:f>
        <x:v>0.2561109686550491</x:v>
      </x:c>
      <x:c r="F24" s="13" t="n">
        <x:f>SUMIFS('原始计时'!$E$5:$E$264,'原始计时'!$A$5:$A$264,"resource16-fair-three-version",'原始计时'!$B$5:$B$264,"F02",'原始计时'!$C$5:$C$264,"resource16")/SUMIFS('原始计时'!$F$5:$F$264,'原始计时'!$A$5:$A$264,"resource16-fair-three-version",'原始计时'!$B$5:$B$264,"F02",'原始计时'!$C$5:$C$264,"resource16")/1000000</x:f>
        <x:v>0.2939152557805611</x:v>
      </x:c>
      <x:c r="G24" s="14" t="n">
        <x:f>F24/E24-1</x:f>
        <x:v>0.14760901231227552</x:v>
      </x:c>
      <x:c r="H24" s="14" t="n">
        <x:f>AVERAGEIFS('原始计时'!$G$5:$G$264,'原始计时'!$A$5:$A$264,"resource16-fair-three-version",'原始计时'!$B$5:$B$264,"F02",'原始计时'!$C$5:$C$264,"resource16")/1000000/(AVERAGEIFS('原始计时'!$G$5:$G$264,'原始计时'!$A$5:$A$264,"resource16-fair-three-version",'原始计时'!$B$5:$B$264,"F02",'原始计时'!$C$5:$C$264,"original")/1000000)-1</x:f>
        <x:v>0.1476179573920633</x:v>
      </x:c>
      <x:c r="I24" s="14" t="n">
        <x:f>SUMIFS('原始计时'!$E$5:$E$264,'原始计时'!$A$5:$A$264,"resource16-fair-three-version",'原始计时'!$B$5:$B$264,"F02",'原始计时'!$C$5:$C$264,"resource16",'原始计时'!$D$5:$D$264,1)/SUMIFS('原始计时'!$F$5:$F$264,'原始计时'!$A$5:$A$264,"resource16-fair-three-version",'原始计时'!$B$5:$B$264,"F02",'原始计时'!$C$5:$C$264,"resource16",'原始计时'!$D$5:$D$264,1)/1000000/(SUMIFS('原始计时'!$E$5:$E$264,'原始计时'!$A$5:$A$264,"resource16-fair-three-version",'原始计时'!$B$5:$B$264,"F02",'原始计时'!$C$5:$C$264,"original",'原始计时'!$D$5:$D$264,1)/SUMIFS('原始计时'!$F$5:$F$264,'原始计时'!$A$5:$A$264,"resource16-fair-three-version",'原始计时'!$B$5:$B$264,"F02",'原始计时'!$C$5:$C$264,"original",'原始计时'!$D$5:$D$264,1)/1000000)-1</x:f>
        <x:v>0.15547354603853214</x:v>
      </x:c>
      <x:c r="J24" s="14" t="n">
        <x:f>SUMIFS('原始计时'!$E$5:$E$264,'原始计时'!$A$5:$A$264,"resource16-fair-three-version",'原始计时'!$B$5:$B$264,"F02",'原始计时'!$C$5:$C$264,"resource16",'原始计时'!$D$5:$D$264,2)/SUMIFS('原始计时'!$F$5:$F$264,'原始计时'!$A$5:$A$264,"resource16-fair-three-version",'原始计时'!$B$5:$B$264,"F02",'原始计时'!$C$5:$C$264,"resource16",'原始计时'!$D$5:$D$264,2)/1000000/(SUMIFS('原始计时'!$E$5:$E$264,'原始计时'!$A$5:$A$264,"resource16-fair-three-version",'原始计时'!$B$5:$B$264,"F02",'原始计时'!$C$5:$C$264,"original",'原始计时'!$D$5:$D$264,2)/SUMIFS('原始计时'!$F$5:$F$264,'原始计时'!$A$5:$A$264,"resource16-fair-three-version",'原始计时'!$B$5:$B$264,"F02",'原始计时'!$C$5:$C$264,"original",'原始计时'!$D$5:$D$264,2)/1000000)-1</x:f>
        <x:v>0.13986919665155662</x:v>
      </x:c>
      <x:c r="K24" s="11" t="str">
        <x:v>历史测量</x:v>
      </x:c>
      <x:c r="L24" s="11" t="str">
        <x:v>同次公平读取；不混旧逐帧协议</x:v>
      </x:c>
    </x:row>
    <x:row r="25" ht="44" customHeight="1">
      <x:c r="A25" s="11" t="str">
        <x:v>16公平读取：三版本对照</x:v>
      </x:c>
      <x:c r="B25" s="11" t="str">
        <x:v>F02</x:v>
      </x:c>
      <x:c r="C25" s="11" t="str">
        <x:v>resource15</x:v>
      </x:c>
      <x:c r="D25" s="11" t="str">
        <x:v>resource16</x:v>
      </x:c>
      <x:c r="E25" s="13" t="n">
        <x:f>SUMIFS('原始计时'!$E$5:$E$264,'原始计时'!$A$5:$A$264,"resource16-fair-three-version",'原始计时'!$B$5:$B$264,"F02",'原始计时'!$C$5:$C$264,"resource15")/SUMIFS('原始计时'!$F$5:$F$264,'原始计时'!$A$5:$A$264,"resource16-fair-three-version",'原始计时'!$B$5:$B$264,"F02",'原始计时'!$C$5:$C$264,"resource15")/1000000</x:f>
        <x:v>0.26075384425623205</x:v>
      </x:c>
      <x:c r="F25" s="13" t="n">
        <x:f>SUMIFS('原始计时'!$E$5:$E$264,'原始计时'!$A$5:$A$264,"resource16-fair-three-version",'原始计时'!$B$5:$B$264,"F02",'原始计时'!$C$5:$C$264,"resource16")/SUMIFS('原始计时'!$F$5:$F$264,'原始计时'!$A$5:$A$264,"resource16-fair-three-version",'原始计时'!$B$5:$B$264,"F02",'原始计时'!$C$5:$C$264,"resource16")/1000000</x:f>
        <x:v>0.2939152557805611</x:v>
      </x:c>
      <x:c r="G25" s="14" t="n">
        <x:f>F25/E25-1</x:f>
        <x:v>0.12717515869772833</x:v>
      </x:c>
      <x:c r="H25" s="14" t="n">
        <x:f>AVERAGEIFS('原始计时'!$G$5:$G$264,'原始计时'!$A$5:$A$264,"resource16-fair-three-version",'原始计时'!$B$5:$B$264,"F02",'原始计时'!$C$5:$C$264,"resource16")/1000000/(AVERAGEIFS('原始计时'!$G$5:$G$264,'原始计时'!$A$5:$A$264,"resource16-fair-three-version",'原始计时'!$B$5:$B$264,"F02",'原始计时'!$C$5:$C$264,"resource15")/1000000)-1</x:f>
        <x:v>0.12716340403104587</x:v>
      </x:c>
      <x:c r="I25" s="14" t="n">
        <x:f>SUMIFS('原始计时'!$E$5:$E$264,'原始计时'!$A$5:$A$264,"resource16-fair-three-version",'原始计时'!$B$5:$B$264,"F02",'原始计时'!$C$5:$C$264,"resource16",'原始计时'!$D$5:$D$264,1)/SUMIFS('原始计时'!$F$5:$F$264,'原始计时'!$A$5:$A$264,"resource16-fair-three-version",'原始计时'!$B$5:$B$264,"F02",'原始计时'!$C$5:$C$264,"resource16",'原始计时'!$D$5:$D$264,1)/1000000/(SUMIFS('原始计时'!$E$5:$E$264,'原始计时'!$A$5:$A$264,"resource16-fair-three-version",'原始计时'!$B$5:$B$264,"F02",'原始计时'!$C$5:$C$264,"resource15",'原始计时'!$D$5:$D$264,1)/SUMIFS('原始计时'!$F$5:$F$264,'原始计时'!$A$5:$A$264,"resource16-fair-three-version",'原始计时'!$B$5:$B$264,"F02",'原始计时'!$C$5:$C$264,"resource15",'原始计时'!$D$5:$D$264,1)/1000000)-1</x:f>
        <x:v>0.19080227616796241</x:v>
      </x:c>
      <x:c r="J25" s="14" t="n">
        <x:f>SUMIFS('原始计时'!$E$5:$E$264,'原始计时'!$A$5:$A$264,"resource16-fair-three-version",'原始计时'!$B$5:$B$264,"F02",'原始计时'!$C$5:$C$264,"resource16",'原始计时'!$D$5:$D$264,2)/SUMIFS('原始计时'!$F$5:$F$264,'原始计时'!$A$5:$A$264,"resource16-fair-three-version",'原始计时'!$B$5:$B$264,"F02",'原始计时'!$C$5:$C$264,"resource16",'原始计时'!$D$5:$D$264,2)/1000000/(SUMIFS('原始计时'!$E$5:$E$264,'原始计时'!$A$5:$A$264,"resource16-fair-three-version",'原始计时'!$B$5:$B$264,"F02",'原始计时'!$C$5:$C$264,"resource15",'原始计时'!$D$5:$D$264,2)/SUMIFS('原始计时'!$F$5:$F$264,'原始计时'!$A$5:$A$264,"resource16-fair-three-version",'原始计时'!$B$5:$B$264,"F02",'原始计时'!$C$5:$C$264,"resource15",'原始计时'!$D$5:$D$264,2)/1000000)-1</x:f>
        <x:v>0.06998662656330557</x:v>
      </x:c>
      <x:c r="K25" s="11" t="str">
        <x:v>历史测量</x:v>
      </x:c>
      <x:c r="L25" s="11" t="str">
        <x:v>同次公平读取；不混旧逐帧协议</x:v>
      </x:c>
    </x:row>
    <x:row r="26" ht="44" customHeight="1">
      <x:c r="A26" s="11" t="str">
        <x:v>16公平读取：三版本对照</x:v>
      </x:c>
      <x:c r="B26" s="11" t="str">
        <x:v>F03</x:v>
      </x:c>
      <x:c r="C26" s="11" t="str">
        <x:v>original</x:v>
      </x:c>
      <x:c r="D26" s="11" t="str">
        <x:v>resource15</x:v>
      </x:c>
      <x:c r="E26" s="13" t="n">
        <x:f>SUMIFS('原始计时'!$E$5:$E$264,'原始计时'!$A$5:$A$264,"resource16-fair-three-version",'原始计时'!$B$5:$B$264,"F03",'原始计时'!$C$5:$C$264,"original")/SUMIFS('原始计时'!$F$5:$F$264,'原始计时'!$A$5:$A$264,"resource16-fair-three-version",'原始计时'!$B$5:$B$264,"F03",'原始计时'!$C$5:$C$264,"original")/1000000</x:f>
        <x:v>6.57077495641078</x:v>
      </x:c>
      <x:c r="F26" s="13" t="n">
        <x:f>SUMIFS('原始计时'!$E$5:$E$264,'原始计时'!$A$5:$A$264,"resource16-fair-three-version",'原始计时'!$B$5:$B$264,"F03",'原始计时'!$C$5:$C$264,"resource15")/SUMIFS('原始计时'!$F$5:$F$264,'原始计时'!$A$5:$A$264,"resource16-fair-three-version",'原始计时'!$B$5:$B$264,"F03",'原始计时'!$C$5:$C$264,"resource15")/1000000</x:f>
        <x:v>5.685495506523109</x:v>
      </x:c>
      <x:c r="G26" s="14" t="n">
        <x:f>F26/E26-1</x:f>
        <x:v>-0.1347298386811966</x:v>
      </x:c>
      <x:c r="H26" s="14" t="n">
        <x:f>AVERAGEIFS('原始计时'!$G$5:$G$264,'原始计时'!$A$5:$A$264,"resource16-fair-three-version",'原始计时'!$B$5:$B$264,"F03",'原始计时'!$C$5:$C$264,"resource15")/1000000/(AVERAGEIFS('原始计时'!$G$5:$G$264,'原始计时'!$A$5:$A$264,"resource16-fair-three-version",'原始计时'!$B$5:$B$264,"F03",'原始计时'!$C$5:$C$264,"original")/1000000)-1</x:f>
        <x:v>-0.1347289065306172</x:v>
      </x:c>
      <x:c r="I26" s="14" t="n">
        <x:f>SUMIFS('原始计时'!$E$5:$E$264,'原始计时'!$A$5:$A$264,"resource16-fair-three-version",'原始计时'!$B$5:$B$264,"F03",'原始计时'!$C$5:$C$264,"resource15",'原始计时'!$D$5:$D$264,1)/SUMIFS('原始计时'!$F$5:$F$264,'原始计时'!$A$5:$A$264,"resource16-fair-three-version",'原始计时'!$B$5:$B$264,"F03",'原始计时'!$C$5:$C$264,"resource15",'原始计时'!$D$5:$D$264,1)/1000000/(SUMIFS('原始计时'!$E$5:$E$264,'原始计时'!$A$5:$A$264,"resource16-fair-three-version",'原始计时'!$B$5:$B$264,"F03",'原始计时'!$C$5:$C$264,"original",'原始计时'!$D$5:$D$264,1)/SUMIFS('原始计时'!$F$5:$F$264,'原始计时'!$A$5:$A$264,"resource16-fair-three-version",'原始计时'!$B$5:$B$264,"F03",'原始计时'!$C$5:$C$264,"original",'原始计时'!$D$5:$D$264,1)/1000000)-1</x:f>
        <x:v>-0.211337182383455</x:v>
      </x:c>
      <x:c r="J26" s="14" t="n">
        <x:f>SUMIFS('原始计时'!$E$5:$E$264,'原始计时'!$A$5:$A$264,"resource16-fair-three-version",'原始计时'!$B$5:$B$264,"F03",'原始计时'!$C$5:$C$264,"resource15",'原始计时'!$D$5:$D$264,2)/SUMIFS('原始计时'!$F$5:$F$264,'原始计时'!$A$5:$A$264,"resource16-fair-three-version",'原始计时'!$B$5:$B$264,"F03",'原始计时'!$C$5:$C$264,"resource15",'原始计时'!$D$5:$D$264,2)/1000000/(SUMIFS('原始计时'!$E$5:$E$264,'原始计时'!$A$5:$A$264,"resource16-fair-three-version",'原始计时'!$B$5:$B$264,"F03",'原始计时'!$C$5:$C$264,"original",'原始计时'!$D$5:$D$264,2)/SUMIFS('原始计时'!$F$5:$F$264,'原始计时'!$A$5:$A$264,"resource16-fair-three-version",'原始计时'!$B$5:$B$264,"F03",'原始计时'!$C$5:$C$264,"original",'原始计时'!$D$5:$D$264,2)/1000000)-1</x:f>
        <x:v>-0.056409198310204745</x:v>
      </x:c>
      <x:c r="K26" s="11" t="str">
        <x:v>历史测量</x:v>
      </x:c>
      <x:c r="L26" s="11" t="str">
        <x:v>同次公平读取；不混旧逐帧协议</x:v>
      </x:c>
    </x:row>
    <x:row r="27" ht="44" customHeight="1">
      <x:c r="A27" s="11" t="str">
        <x:v>16公平读取：三版本对照</x:v>
      </x:c>
      <x:c r="B27" s="11" t="str">
        <x:v>F03</x:v>
      </x:c>
      <x:c r="C27" s="11" t="str">
        <x:v>original</x:v>
      </x:c>
      <x:c r="D27" s="11" t="str">
        <x:v>resource16</x:v>
      </x:c>
      <x:c r="E27" s="13" t="n">
        <x:f>SUMIFS('原始计时'!$E$5:$E$264,'原始计时'!$A$5:$A$264,"resource16-fair-three-version",'原始计时'!$B$5:$B$264,"F03",'原始计时'!$C$5:$C$264,"original")/SUMIFS('原始计时'!$F$5:$F$264,'原始计时'!$A$5:$A$264,"resource16-fair-three-version",'原始计时'!$B$5:$B$264,"F03",'原始计时'!$C$5:$C$264,"original")/1000000</x:f>
        <x:v>6.57077495641078</x:v>
      </x:c>
      <x:c r="F27" s="13" t="n">
        <x:f>SUMIFS('原始计时'!$E$5:$E$264,'原始计时'!$A$5:$A$264,"resource16-fair-three-version",'原始计时'!$B$5:$B$264,"F03",'原始计时'!$C$5:$C$264,"resource16")/SUMIFS('原始计时'!$F$5:$F$264,'原始计时'!$A$5:$A$264,"resource16-fair-three-version",'原始计时'!$B$5:$B$264,"F03",'原始计时'!$C$5:$C$264,"resource16")/1000000</x:f>
        <x:v>5.897061089032387</x:v>
      </x:c>
      <x:c r="G27" s="14" t="n">
        <x:f>F27/E27-1</x:f>
        <x:v>-0.10253187361425065</x:v>
      </x:c>
      <x:c r="H27" s="14" t="n">
        <x:f>AVERAGEIFS('原始计时'!$G$5:$G$264,'原始计时'!$A$5:$A$264,"resource16-fair-three-version",'原始计时'!$B$5:$B$264,"F03",'原始计时'!$C$5:$C$264,"resource16")/1000000/(AVERAGEIFS('原始计时'!$G$5:$G$264,'原始计时'!$A$5:$A$264,"resource16-fair-three-version",'原始计时'!$B$5:$B$264,"F03",'原始计时'!$C$5:$C$264,"original")/1000000)-1</x:f>
        <x:v>-0.10253365965916883</x:v>
      </x:c>
      <x:c r="I27" s="14" t="n">
        <x:f>SUMIFS('原始计时'!$E$5:$E$264,'原始计时'!$A$5:$A$264,"resource16-fair-three-version",'原始计时'!$B$5:$B$264,"F03",'原始计时'!$C$5:$C$264,"resource16",'原始计时'!$D$5:$D$264,1)/SUMIFS('原始计时'!$F$5:$F$264,'原始计时'!$A$5:$A$264,"resource16-fair-three-version",'原始计时'!$B$5:$B$264,"F03",'原始计时'!$C$5:$C$264,"resource16",'原始计时'!$D$5:$D$264,1)/1000000/(SUMIFS('原始计时'!$E$5:$E$264,'原始计时'!$A$5:$A$264,"resource16-fair-three-version",'原始计时'!$B$5:$B$264,"F03",'原始计时'!$C$5:$C$264,"original",'原始计时'!$D$5:$D$264,1)/SUMIFS('原始计时'!$F$5:$F$264,'原始计时'!$A$5:$A$264,"resource16-fair-three-version",'原始计时'!$B$5:$B$264,"F03",'原始计时'!$C$5:$C$264,"original",'原始计时'!$D$5:$D$264,1)/1000000)-1</x:f>
        <x:v>-0.09281093115045158</x:v>
      </x:c>
      <x:c r="J27" s="14" t="n">
        <x:f>SUMIFS('原始计时'!$E$5:$E$264,'原始计时'!$A$5:$A$264,"resource16-fair-three-version",'原始计时'!$B$5:$B$264,"F03",'原始计时'!$C$5:$C$264,"resource16",'原始计时'!$D$5:$D$264,2)/SUMIFS('原始计时'!$F$5:$F$264,'原始计时'!$A$5:$A$264,"resource16-fair-three-version",'原始计时'!$B$5:$B$264,"F03",'原始计时'!$C$5:$C$264,"resource16",'原始计时'!$D$5:$D$264,2)/1000000/(SUMIFS('原始计时'!$E$5:$E$264,'原始计时'!$A$5:$A$264,"resource16-fair-three-version",'原始计时'!$B$5:$B$264,"F03",'原始计时'!$C$5:$C$264,"original",'原始计时'!$D$5:$D$264,2)/SUMIFS('原始计时'!$F$5:$F$264,'原始计时'!$A$5:$A$264,"resource16-fair-three-version",'原始计时'!$B$5:$B$264,"F03",'原始计时'!$C$5:$C$264,"original",'原始计时'!$D$5:$D$264,2)/1000000)-1</x:f>
        <x:v>-0.11247359436507187</x:v>
      </x:c>
      <x:c r="K27" s="11" t="str">
        <x:v>历史测量</x:v>
      </x:c>
      <x:c r="L27" s="11" t="str">
        <x:v>同次公平读取；不混旧逐帧协议</x:v>
      </x:c>
    </x:row>
    <x:row r="28" ht="44" customHeight="1">
      <x:c r="A28" s="11" t="str">
        <x:v>16公平读取：三版本对照</x:v>
      </x:c>
      <x:c r="B28" s="11" t="str">
        <x:v>F03</x:v>
      </x:c>
      <x:c r="C28" s="11" t="str">
        <x:v>resource15</x:v>
      </x:c>
      <x:c r="D28" s="11" t="str">
        <x:v>resource16</x:v>
      </x:c>
      <x:c r="E28" s="13" t="n">
        <x:f>SUMIFS('原始计时'!$E$5:$E$264,'原始计时'!$A$5:$A$264,"resource16-fair-three-version",'原始计时'!$B$5:$B$264,"F03",'原始计时'!$C$5:$C$264,"resource15")/SUMIFS('原始计时'!$F$5:$F$264,'原始计时'!$A$5:$A$264,"resource16-fair-three-version",'原始计时'!$B$5:$B$264,"F03",'原始计时'!$C$5:$C$264,"resource15")/1000000</x:f>
        <x:v>5.685495506523109</x:v>
      </x:c>
      <x:c r="F28" s="13" t="n">
        <x:f>SUMIFS('原始计时'!$E$5:$E$264,'原始计时'!$A$5:$A$264,"resource16-fair-three-version",'原始计时'!$B$5:$B$264,"F03",'原始计时'!$C$5:$C$264,"resource16")/SUMIFS('原始计时'!$F$5:$F$264,'原始计时'!$A$5:$A$264,"resource16-fair-three-version",'原始计时'!$B$5:$B$264,"F03",'原始计时'!$C$5:$C$264,"resource16")/1000000</x:f>
        <x:v>5.897061089032387</x:v>
      </x:c>
      <x:c r="G28" s="14" t="n">
        <x:f>F28/E28-1</x:f>
        <x:v>0.03721145892500366</x:v>
      </x:c>
      <x:c r="H28" s="14" t="n">
        <x:f>AVERAGEIFS('原始计时'!$G$5:$G$264,'原始计时'!$A$5:$A$264,"resource16-fair-three-version",'原始计时'!$B$5:$B$264,"F03",'原始计时'!$C$5:$C$264,"resource16")/1000000/(AVERAGEIFS('原始计时'!$G$5:$G$264,'原始计时'!$A$5:$A$264,"resource16-fair-three-version",'原始计时'!$B$5:$B$264,"F03",'原始计时'!$C$5:$C$264,"resource15")/1000000)-1</x:f>
        <x:v>0.03720827739935073</x:v>
      </x:c>
      <x:c r="I28" s="14" t="n">
        <x:f>SUMIFS('原始计时'!$E$5:$E$264,'原始计时'!$A$5:$A$264,"resource16-fair-three-version",'原始计时'!$B$5:$B$264,"F03",'原始计时'!$C$5:$C$264,"resource16",'原始计时'!$D$5:$D$264,1)/SUMIFS('原始计时'!$F$5:$F$264,'原始计时'!$A$5:$A$264,"resource16-fair-three-version",'原始计时'!$B$5:$B$264,"F03",'原始计时'!$C$5:$C$264,"resource16",'原始计时'!$D$5:$D$264,1)/1000000/(SUMIFS('原始计时'!$E$5:$E$264,'原始计时'!$A$5:$A$264,"resource16-fair-three-version",'原始计时'!$B$5:$B$264,"F03",'原始计时'!$C$5:$C$264,"resource15",'原始计时'!$D$5:$D$264,1)/SUMIFS('原始计时'!$F$5:$F$264,'原始计时'!$A$5:$A$264,"resource16-fair-three-version",'原始计时'!$B$5:$B$264,"F03",'原始计时'!$C$5:$C$264,"resource15",'原始计时'!$D$5:$D$264,1)/1000000)-1</x:f>
        <x:v>0.1502876116198899</x:v>
      </x:c>
      <x:c r="J28" s="14" t="n">
        <x:f>SUMIFS('原始计时'!$E$5:$E$264,'原始计时'!$A$5:$A$264,"resource16-fair-three-version",'原始计时'!$B$5:$B$264,"F03",'原始计时'!$C$5:$C$264,"resource16",'原始计时'!$D$5:$D$264,2)/SUMIFS('原始计时'!$F$5:$F$264,'原始计时'!$A$5:$A$264,"resource16-fair-three-version",'原始计时'!$B$5:$B$264,"F03",'原始计时'!$C$5:$C$264,"resource16",'原始计时'!$D$5:$D$264,2)/1000000/(SUMIFS('原始计时'!$E$5:$E$264,'原始计时'!$A$5:$A$264,"resource16-fair-three-version",'原始计时'!$B$5:$B$264,"F03",'原始计时'!$C$5:$C$264,"resource15",'原始计时'!$D$5:$D$264,2)/SUMIFS('原始计时'!$F$5:$F$264,'原始计时'!$A$5:$A$264,"resource16-fair-three-version",'原始计时'!$B$5:$B$264,"F03",'原始计时'!$C$5:$C$264,"resource15",'原始计时'!$D$5:$D$264,2)/1000000)-1</x:f>
        <x:v>-0.059416005279477435</x:v>
      </x:c>
      <x:c r="K28" s="11" t="str">
        <x:v>历史测量</x:v>
      </x:c>
      <x:c r="L28" s="11" t="str">
        <x:v>同次公平读取；不混旧逐帧协议</x:v>
      </x:c>
    </x:row>
    <x:row r="29" ht="44" customHeight="1">
      <x:c r="A29" s="11" t="str">
        <x:v>16公平读取：三版本对照</x:v>
      </x:c>
      <x:c r="B29" s="11" t="str">
        <x:v>F06</x:v>
      </x:c>
      <x:c r="C29" s="11" t="str">
        <x:v>original</x:v>
      </x:c>
      <x:c r="D29" s="11" t="str">
        <x:v>resource15</x:v>
      </x:c>
      <x:c r="E29" s="13" t="n">
        <x:f>SUMIFS('原始计时'!$E$5:$E$264,'原始计时'!$A$5:$A$264,"resource16-fair-three-version",'原始计时'!$B$5:$B$264,"F06",'原始计时'!$C$5:$C$264,"original")/SUMIFS('原始计时'!$F$5:$F$264,'原始计时'!$A$5:$A$264,"resource16-fair-three-version",'原始计时'!$B$5:$B$264,"F06",'原始计时'!$C$5:$C$264,"original")/1000000</x:f>
        <x:v>9.955746331873947</x:v>
      </x:c>
      <x:c r="F29" s="13" t="n">
        <x:f>SUMIFS('原始计时'!$E$5:$E$264,'原始计时'!$A$5:$A$264,"resource16-fair-three-version",'原始计时'!$B$5:$B$264,"F06",'原始计时'!$C$5:$C$264,"resource15")/SUMIFS('原始计时'!$F$5:$F$264,'原始计时'!$A$5:$A$264,"resource16-fair-three-version",'原始计时'!$B$5:$B$264,"F06",'原始计时'!$C$5:$C$264,"resource15")/1000000</x:f>
        <x:v>9.056962620820098</x:v>
      </x:c>
      <x:c r="G29" s="14" t="n">
        <x:f>F29/E29-1</x:f>
        <x:v>-0.0902778838565157</x:v>
      </x:c>
      <x:c r="H29" s="14" t="n">
        <x:f>AVERAGEIFS('原始计时'!$G$5:$G$264,'原始计时'!$A$5:$A$264,"resource16-fair-three-version",'原始计时'!$B$5:$B$264,"F06",'原始计时'!$C$5:$C$264,"resource15")/1000000/(AVERAGEIFS('原始计时'!$G$5:$G$264,'原始计时'!$A$5:$A$264,"resource16-fair-three-version",'原始计时'!$B$5:$B$264,"F06",'原始计时'!$C$5:$C$264,"original")/1000000)-1</x:f>
        <x:v>-0.09027813640644855</x:v>
      </x:c>
      <x:c r="I29" s="14" t="n">
        <x:f>SUMIFS('原始计时'!$E$5:$E$264,'原始计时'!$A$5:$A$264,"resource16-fair-three-version",'原始计时'!$B$5:$B$264,"F06",'原始计时'!$C$5:$C$264,"resource15",'原始计时'!$D$5:$D$264,1)/SUMIFS('原始计时'!$F$5:$F$264,'原始计时'!$A$5:$A$264,"resource16-fair-three-version",'原始计时'!$B$5:$B$264,"F06",'原始计时'!$C$5:$C$264,"resource15",'原始计时'!$D$5:$D$264,1)/1000000/(SUMIFS('原始计时'!$E$5:$E$264,'原始计时'!$A$5:$A$264,"resource16-fair-three-version",'原始计时'!$B$5:$B$264,"F06",'原始计时'!$C$5:$C$264,"original",'原始计时'!$D$5:$D$264,1)/SUMIFS('原始计时'!$F$5:$F$264,'原始计时'!$A$5:$A$264,"resource16-fair-three-version",'原始计时'!$B$5:$B$264,"F06",'原始计时'!$C$5:$C$264,"original",'原始计时'!$D$5:$D$264,1)/1000000)-1</x:f>
        <x:v>-0.13516142042014878</x:v>
      </x:c>
      <x:c r="J29" s="14" t="n">
        <x:f>SUMIFS('原始计时'!$E$5:$E$264,'原始计时'!$A$5:$A$264,"resource16-fair-three-version",'原始计时'!$B$5:$B$264,"F06",'原始计时'!$C$5:$C$264,"resource15",'原始计时'!$D$5:$D$264,2)/SUMIFS('原始计时'!$F$5:$F$264,'原始计时'!$A$5:$A$264,"resource16-fair-three-version",'原始计时'!$B$5:$B$264,"F06",'原始计时'!$C$5:$C$264,"resource15",'原始计时'!$D$5:$D$264,2)/1000000/(SUMIFS('原始计时'!$E$5:$E$264,'原始计时'!$A$5:$A$264,"resource16-fair-three-version",'原始计时'!$B$5:$B$264,"F06",'原始计时'!$C$5:$C$264,"original",'原始计时'!$D$5:$D$264,2)/SUMIFS('原始计时'!$F$5:$F$264,'原始计时'!$A$5:$A$264,"resource16-fair-three-version",'原始计时'!$B$5:$B$264,"F06",'原始计时'!$C$5:$C$264,"original",'原始计时'!$D$5:$D$264,2)/1000000)-1</x:f>
        <x:v>-0.04585310206320736</x:v>
      </x:c>
      <x:c r="K29" s="11" t="str">
        <x:v>历史测量</x:v>
      </x:c>
      <x:c r="L29" s="11" t="str">
        <x:v>同次公平读取；不混旧逐帧协议</x:v>
      </x:c>
    </x:row>
    <x:row r="30" ht="44" customHeight="1">
      <x:c r="A30" s="11" t="str">
        <x:v>16公平读取：三版本对照</x:v>
      </x:c>
      <x:c r="B30" s="11" t="str">
        <x:v>F06</x:v>
      </x:c>
      <x:c r="C30" s="11" t="str">
        <x:v>original</x:v>
      </x:c>
      <x:c r="D30" s="11" t="str">
        <x:v>resource16</x:v>
      </x:c>
      <x:c r="E30" s="13" t="n">
        <x:f>SUMIFS('原始计时'!$E$5:$E$264,'原始计时'!$A$5:$A$264,"resource16-fair-three-version",'原始计时'!$B$5:$B$264,"F06",'原始计时'!$C$5:$C$264,"original")/SUMIFS('原始计时'!$F$5:$F$264,'原始计时'!$A$5:$A$264,"resource16-fair-three-version",'原始计时'!$B$5:$B$264,"F06",'原始计时'!$C$5:$C$264,"original")/1000000</x:f>
        <x:v>9.955746331873947</x:v>
      </x:c>
      <x:c r="F30" s="13" t="n">
        <x:f>SUMIFS('原始计时'!$E$5:$E$264,'原始计时'!$A$5:$A$264,"resource16-fair-three-version",'原始计时'!$B$5:$B$264,"F06",'原始计时'!$C$5:$C$264,"resource16")/SUMIFS('原始计时'!$F$5:$F$264,'原始计时'!$A$5:$A$264,"resource16-fair-three-version",'原始计时'!$B$5:$B$264,"F06",'原始计时'!$C$5:$C$264,"resource16")/1000000</x:f>
        <x:v>8.890538292510893</x:v>
      </x:c>
      <x:c r="G30" s="14" t="n">
        <x:f>F30/E30-1</x:f>
        <x:v>-0.10699429292937312</x:v>
      </x:c>
      <x:c r="H30" s="14" t="n">
        <x:f>AVERAGEIFS('原始计时'!$G$5:$G$264,'原始计时'!$A$5:$A$264,"resource16-fair-three-version",'原始计时'!$B$5:$B$264,"F06",'原始计时'!$C$5:$C$264,"resource16")/1000000/(AVERAGEIFS('原始计时'!$G$5:$G$264,'原始计时'!$A$5:$A$264,"resource16-fair-three-version",'原始计时'!$B$5:$B$264,"F06",'原始计时'!$C$5:$C$264,"original")/1000000)-1</x:f>
        <x:v>-0.10699757950567412</x:v>
      </x:c>
      <x:c r="I30" s="14" t="n">
        <x:f>SUMIFS('原始计时'!$E$5:$E$264,'原始计时'!$A$5:$A$264,"resource16-fair-three-version",'原始计时'!$B$5:$B$264,"F06",'原始计时'!$C$5:$C$264,"resource16",'原始计时'!$D$5:$D$264,1)/SUMIFS('原始计时'!$F$5:$F$264,'原始计时'!$A$5:$A$264,"resource16-fair-three-version",'原始计时'!$B$5:$B$264,"F06",'原始计时'!$C$5:$C$264,"resource16",'原始计时'!$D$5:$D$264,1)/1000000/(SUMIFS('原始计时'!$E$5:$E$264,'原始计时'!$A$5:$A$264,"resource16-fair-three-version",'原始计时'!$B$5:$B$264,"F06",'原始计时'!$C$5:$C$264,"original",'原始计时'!$D$5:$D$264,1)/SUMIFS('原始计时'!$F$5:$F$264,'原始计时'!$A$5:$A$264,"resource16-fair-three-version",'原始计时'!$B$5:$B$264,"F06",'原始计时'!$C$5:$C$264,"original",'原始计时'!$D$5:$D$264,1)/1000000)-1</x:f>
        <x:v>-0.057967789262455605</x:v>
      </x:c>
      <x:c r="J30" s="14" t="n">
        <x:f>SUMIFS('原始计时'!$E$5:$E$264,'原始计时'!$A$5:$A$264,"resource16-fair-three-version",'原始计时'!$B$5:$B$264,"F06",'原始计时'!$C$5:$C$264,"resource16",'原始计时'!$D$5:$D$264,2)/SUMIFS('原始计时'!$F$5:$F$264,'原始计时'!$A$5:$A$264,"resource16-fair-three-version",'原始计时'!$B$5:$B$264,"F06",'原始计时'!$C$5:$C$264,"resource16",'原始计时'!$D$5:$D$264,2)/1000000/(SUMIFS('原始计时'!$E$5:$E$264,'原始计时'!$A$5:$A$264,"resource16-fair-three-version",'原始计时'!$B$5:$B$264,"F06",'原始计时'!$C$5:$C$264,"original",'原始计时'!$D$5:$D$264,2)/SUMIFS('原始计时'!$F$5:$F$264,'原始计时'!$A$5:$A$264,"resource16-fair-three-version",'原始计时'!$B$5:$B$264,"F06",'原始计时'!$C$5:$C$264,"original",'原始计时'!$D$5:$D$264,2)/1000000)-1</x:f>
        <x:v>-0.1555267850498142</x:v>
      </x:c>
      <x:c r="K30" s="11" t="str">
        <x:v>历史测量</x:v>
      </x:c>
      <x:c r="L30" s="11" t="str">
        <x:v>同次公平读取；不混旧逐帧协议</x:v>
      </x:c>
    </x:row>
    <x:row r="31" ht="44" customHeight="1">
      <x:c r="A31" s="11" t="str">
        <x:v>16公平读取：三版本对照</x:v>
      </x:c>
      <x:c r="B31" s="11" t="str">
        <x:v>F06</x:v>
      </x:c>
      <x:c r="C31" s="11" t="str">
        <x:v>resource15</x:v>
      </x:c>
      <x:c r="D31" s="11" t="str">
        <x:v>resource16</x:v>
      </x:c>
      <x:c r="E31" s="13" t="n">
        <x:f>SUMIFS('原始计时'!$E$5:$E$264,'原始计时'!$A$5:$A$264,"resource16-fair-three-version",'原始计时'!$B$5:$B$264,"F06",'原始计时'!$C$5:$C$264,"resource15")/SUMIFS('原始计时'!$F$5:$F$264,'原始计时'!$A$5:$A$264,"resource16-fair-three-version",'原始计时'!$B$5:$B$264,"F06",'原始计时'!$C$5:$C$264,"resource15")/1000000</x:f>
        <x:v>9.056962620820098</x:v>
      </x:c>
      <x:c r="F31" s="13" t="n">
        <x:f>SUMIFS('原始计时'!$E$5:$E$264,'原始计时'!$A$5:$A$264,"resource16-fair-three-version",'原始计时'!$B$5:$B$264,"F06",'原始计时'!$C$5:$C$264,"resource16")/SUMIFS('原始计时'!$F$5:$F$264,'原始计时'!$A$5:$A$264,"resource16-fair-three-version",'原始计时'!$B$5:$B$264,"F06",'原始计时'!$C$5:$C$264,"resource16")/1000000</x:f>
        <x:v>8.890538292510893</x:v>
      </x:c>
      <x:c r="G31" s="14" t="n">
        <x:f>F31/E31-1</x:f>
        <x:v>-0.018375291505192903</x:v>
      </x:c>
      <x:c r="H31" s="14" t="n">
        <x:f>AVERAGEIFS('原始计时'!$G$5:$G$264,'原始计时'!$A$5:$A$264,"resource16-fair-three-version",'原始计时'!$B$5:$B$264,"F06",'原始计时'!$C$5:$C$264,"resource16")/1000000/(AVERAGEIFS('原始计时'!$G$5:$G$264,'原始计时'!$A$5:$A$264,"resource16-fair-three-version",'原始计时'!$B$5:$B$264,"F06",'原始计时'!$C$5:$C$264,"resource15")/1000000)-1</x:f>
        <x:v>-0.018378631720668004</x:v>
      </x:c>
      <x:c r="I31" s="14" t="n">
        <x:f>SUMIFS('原始计时'!$E$5:$E$264,'原始计时'!$A$5:$A$264,"resource16-fair-three-version",'原始计时'!$B$5:$B$264,"F06",'原始计时'!$C$5:$C$264,"resource16",'原始计时'!$D$5:$D$264,1)/SUMIFS('原始计时'!$F$5:$F$264,'原始计时'!$A$5:$A$264,"resource16-fair-three-version",'原始计时'!$B$5:$B$264,"F06",'原始计时'!$C$5:$C$264,"resource16",'原始计时'!$D$5:$D$264,1)/1000000/(SUMIFS('原始计时'!$E$5:$E$264,'原始计时'!$A$5:$A$264,"resource16-fair-three-version",'原始计时'!$B$5:$B$264,"F06",'原始计时'!$C$5:$C$264,"resource15",'原始计时'!$D$5:$D$264,1)/SUMIFS('原始计时'!$F$5:$F$264,'原始计时'!$A$5:$A$264,"resource16-fair-three-version",'原始计时'!$B$5:$B$264,"F06",'原始计时'!$C$5:$C$264,"resource15",'原始计时'!$D$5:$D$264,1)/1000000)-1</x:f>
        <x:v>0.08925784878282683</x:v>
      </x:c>
      <x:c r="J31" s="14" t="n">
        <x:f>SUMIFS('原始计时'!$E$5:$E$264,'原始计时'!$A$5:$A$264,"resource16-fair-three-version",'原始计时'!$B$5:$B$264,"F06",'原始计时'!$C$5:$C$264,"resource16",'原始计时'!$D$5:$D$264,2)/SUMIFS('原始计时'!$F$5:$F$264,'原始计时'!$A$5:$A$264,"resource16-fair-three-version",'原始计时'!$B$5:$B$264,"F06",'原始计时'!$C$5:$C$264,"resource16",'原始计时'!$D$5:$D$264,2)/1000000/(SUMIFS('原始计时'!$E$5:$E$264,'原始计时'!$A$5:$A$264,"resource16-fair-three-version",'原始计时'!$B$5:$B$264,"F06",'原始计时'!$C$5:$C$264,"resource15",'原始计时'!$D$5:$D$264,2)/SUMIFS('原始计时'!$F$5:$F$264,'原始计时'!$A$5:$A$264,"resource16-fair-three-version",'原始计时'!$B$5:$B$264,"F06",'原始计时'!$C$5:$C$264,"resource15",'原始计时'!$D$5:$D$264,2)/1000000)-1</x:f>
        <x:v>-0.11494423261634101</x:v>
      </x:c>
      <x:c r="K31" s="11" t="str">
        <x:v>历史测量</x:v>
      </x:c>
      <x:c r="L31" s="11" t="str">
        <x:v>同次公平读取；不混旧逐帧协议</x:v>
      </x:c>
    </x:row>
    <x:row r="32" ht="44" customHeight="1">
      <x:c r="A32" s="11" t="str">
        <x:v>16接收器：30/60FPS诊断</x:v>
      </x:c>
      <x:c r="B32" s="11" t="str">
        <x:v>F03</x:v>
      </x:c>
      <x:c r="C32" s="11" t="str">
        <x:v>resource16frame30</x:v>
      </x:c>
      <x:c r="D32" s="11" t="str">
        <x:v>resource16frame60</x:v>
      </x:c>
      <x:c r="E32" s="13" t="n">
        <x:f>SUMIFS('原始计时'!$E$5:$E$264,'原始计时'!$A$5:$A$264,"resource16-product-receiver-fps",'原始计时'!$B$5:$B$264,"F03",'原始计时'!$C$5:$C$264,"resource16frame30")/SUMIFS('原始计时'!$F$5:$F$264,'原始计时'!$A$5:$A$264,"resource16-product-receiver-fps",'原始计时'!$B$5:$B$264,"F03",'原始计时'!$C$5:$C$264,"resource16frame30")/1000000</x:f>
        <x:v>3.3544385644871864</x:v>
      </x:c>
      <x:c r="F32" s="13" t="n">
        <x:f>SUMIFS('原始计时'!$E$5:$E$264,'原始计时'!$A$5:$A$264,"resource16-product-receiver-fps",'原始计时'!$B$5:$B$264,"F03",'原始计时'!$C$5:$C$264,"resource16frame60")/SUMIFS('原始计时'!$F$5:$F$264,'原始计时'!$A$5:$A$264,"resource16-product-receiver-fps",'原始计时'!$B$5:$B$264,"F03",'原始计时'!$C$5:$C$264,"resource16frame60")/1000000</x:f>
        <x:v>3.9734258935841775</x:v>
      </x:c>
      <x:c r="G32" s="14" t="n">
        <x:f>F32/E32-1</x:f>
        <x:v>0.1845278478640493</x:v>
      </x:c>
      <x:c r="H32" s="14" t="n">
        <x:f>AVERAGEIFS('原始计时'!$G$5:$G$264,'原始计时'!$A$5:$A$264,"resource16-product-receiver-fps",'原始计时'!$B$5:$B$264,"F03",'原始计时'!$C$5:$C$264,"resource16frame60")/1000000/(AVERAGEIFS('原始计时'!$G$5:$G$264,'原始计时'!$A$5:$A$264,"resource16-product-receiver-fps",'原始计时'!$B$5:$B$264,"F03",'原始计时'!$C$5:$C$264,"resource16frame30")/1000000)-1</x:f>
        <x:v>0.1845273249951387</x:v>
      </x:c>
      <x:c r="I32" s="14" t="n">
        <x:f>SUMIFS('原始计时'!$E$5:$E$264,'原始计时'!$A$5:$A$264,"resource16-product-receiver-fps",'原始计时'!$B$5:$B$264,"F03",'原始计时'!$C$5:$C$264,"resource16frame60",'原始计时'!$D$5:$D$264,1)/SUMIFS('原始计时'!$F$5:$F$264,'原始计时'!$A$5:$A$264,"resource16-product-receiver-fps",'原始计时'!$B$5:$B$264,"F03",'原始计时'!$C$5:$C$264,"resource16frame60",'原始计时'!$D$5:$D$264,1)/1000000/(SUMIFS('原始计时'!$E$5:$E$264,'原始计时'!$A$5:$A$264,"resource16-product-receiver-fps",'原始计时'!$B$5:$B$264,"F03",'原始计时'!$C$5:$C$264,"resource16frame30",'原始计时'!$D$5:$D$264,1)/SUMIFS('原始计时'!$F$5:$F$264,'原始计时'!$A$5:$A$264,"resource16-product-receiver-fps",'原始计时'!$B$5:$B$264,"F03",'原始计时'!$C$5:$C$264,"resource16frame30",'原始计时'!$D$5:$D$264,1)/1000000)-1</x:f>
        <x:v>0.17331433239590477</x:v>
      </x:c>
      <x:c r="J32" s="14" t="n">
        <x:f>SUMIFS('原始计时'!$E$5:$E$264,'原始计时'!$A$5:$A$264,"resource16-product-receiver-fps",'原始计时'!$B$5:$B$264,"F03",'原始计时'!$C$5:$C$264,"resource16frame60",'原始计时'!$D$5:$D$264,2)/SUMIFS('原始计时'!$F$5:$F$264,'原始计时'!$A$5:$A$264,"resource16-product-receiver-fps",'原始计时'!$B$5:$B$264,"F03",'原始计时'!$C$5:$C$264,"resource16frame60",'原始计时'!$D$5:$D$264,2)/1000000/(SUMIFS('原始计时'!$E$5:$E$264,'原始计时'!$A$5:$A$264,"resource16-product-receiver-fps",'原始计时'!$B$5:$B$264,"F03",'原始计时'!$C$5:$C$264,"resource16frame30",'原始计时'!$D$5:$D$264,2)/SUMIFS('原始计时'!$F$5:$F$264,'原始计时'!$A$5:$A$264,"resource16-product-receiver-fps",'原始计时'!$B$5:$B$264,"F03",'原始计时'!$C$5:$C$264,"resource16frame30",'原始计时'!$D$5:$D$264,2)/1000000)-1</x:f>
        <x:v>0.19577059557055088</x:v>
      </x:c>
      <x:c r="K32" s="11" t="str">
        <x:v>历史测量</x:v>
      </x:c>
      <x:c r="L32" s="11" t="str">
        <x:v>同DLL/接收器诊断；非完整UI</x:v>
      </x:c>
    </x:row>
    <x:row r="33" ht="44" customHeight="1">
      <x:c r="A33" s="11" t="str">
        <x:v>16接收器：30/60FPS诊断</x:v>
      </x:c>
      <x:c r="B33" s="11" t="str">
        <x:v>F06</x:v>
      </x:c>
      <x:c r="C33" s="11" t="str">
        <x:v>resource16frame30</x:v>
      </x:c>
      <x:c r="D33" s="11" t="str">
        <x:v>resource16frame60</x:v>
      </x:c>
      <x:c r="E33" s="13" t="n">
        <x:f>SUMIFS('原始计时'!$E$5:$E$264,'原始计时'!$A$5:$A$264,"resource16-product-receiver-fps",'原始计时'!$B$5:$B$264,"F06",'原始计时'!$C$5:$C$264,"resource16frame30")/SUMIFS('原始计时'!$F$5:$F$264,'原始计时'!$A$5:$A$264,"resource16-product-receiver-fps",'原始计时'!$B$5:$B$264,"F06",'原始计时'!$C$5:$C$264,"resource16frame30")/1000000</x:f>
        <x:v>5.595697797901296</x:v>
      </x:c>
      <x:c r="F33" s="13" t="n">
        <x:f>SUMIFS('原始计时'!$E$5:$E$264,'原始计时'!$A$5:$A$264,"resource16-product-receiver-fps",'原始计时'!$B$5:$B$264,"F06",'原始计时'!$C$5:$C$264,"resource16frame60")/SUMIFS('原始计时'!$F$5:$F$264,'原始计时'!$A$5:$A$264,"resource16-product-receiver-fps",'原始计时'!$B$5:$B$264,"F06",'原始计时'!$C$5:$C$264,"resource16frame60")/1000000</x:f>
        <x:v>6.855194891080904</x:v>
      </x:c>
      <x:c r="G33" s="14" t="n">
        <x:f>F33/E33-1</x:f>
        <x:v>0.2250831153984032</x:v>
      </x:c>
      <x:c r="H33" s="14" t="n">
        <x:f>AVERAGEIFS('原始计时'!$G$5:$G$264,'原始计时'!$A$5:$A$264,"resource16-product-receiver-fps",'原始计时'!$B$5:$B$264,"F06",'原始计时'!$C$5:$C$264,"resource16frame60")/1000000/(AVERAGEIFS('原始计时'!$G$5:$G$264,'原始计时'!$A$5:$A$264,"resource16-product-receiver-fps",'原始计时'!$B$5:$B$264,"F06",'原始计时'!$C$5:$C$264,"resource16frame30")/1000000)-1</x:f>
        <x:v>0.2250819100589121</x:v>
      </x:c>
      <x:c r="I33" s="14" t="n">
        <x:f>SUMIFS('原始计时'!$E$5:$E$264,'原始计时'!$A$5:$A$264,"resource16-product-receiver-fps",'原始计时'!$B$5:$B$264,"F06",'原始计时'!$C$5:$C$264,"resource16frame60",'原始计时'!$D$5:$D$264,1)/SUMIFS('原始计时'!$F$5:$F$264,'原始计时'!$A$5:$A$264,"resource16-product-receiver-fps",'原始计时'!$B$5:$B$264,"F06",'原始计时'!$C$5:$C$264,"resource16frame60",'原始计时'!$D$5:$D$264,1)/1000000/(SUMIFS('原始计时'!$E$5:$E$264,'原始计时'!$A$5:$A$264,"resource16-product-receiver-fps",'原始计时'!$B$5:$B$264,"F06",'原始计时'!$C$5:$C$264,"resource16frame30",'原始计时'!$D$5:$D$264,1)/SUMIFS('原始计时'!$F$5:$F$264,'原始计时'!$A$5:$A$264,"resource16-product-receiver-fps",'原始计时'!$B$5:$B$264,"F06",'原始计时'!$C$5:$C$264,"resource16frame30",'原始计时'!$D$5:$D$264,1)/1000000)-1</x:f>
        <x:v>0.20954083103915533</x:v>
      </x:c>
      <x:c r="J33" s="14" t="n">
        <x:f>SUMIFS('原始计时'!$E$5:$E$264,'原始计时'!$A$5:$A$264,"resource16-product-receiver-fps",'原始计时'!$B$5:$B$264,"F06",'原始计时'!$C$5:$C$264,"resource16frame60",'原始计时'!$D$5:$D$264,2)/SUMIFS('原始计时'!$F$5:$F$264,'原始计时'!$A$5:$A$264,"resource16-product-receiver-fps",'原始计时'!$B$5:$B$264,"F06",'原始计时'!$C$5:$C$264,"resource16frame60",'原始计时'!$D$5:$D$264,2)/1000000/(SUMIFS('原始计时'!$E$5:$E$264,'原始计时'!$A$5:$A$264,"resource16-product-receiver-fps",'原始计时'!$B$5:$B$264,"F06",'原始计时'!$C$5:$C$264,"resource16frame30",'原始计时'!$D$5:$D$264,2)/SUMIFS('原始计时'!$F$5:$F$264,'原始计时'!$A$5:$A$264,"resource16-product-receiver-fps",'原始计时'!$B$5:$B$264,"F06",'原始计时'!$C$5:$C$264,"resource16frame30",'原始计时'!$D$5:$D$264,2)/1000000)-1</x:f>
        <x:v>0.23975517953899717</x:v>
      </x:c>
      <x:c r="K33" s="11" t="str">
        <x:v>历史测量</x:v>
      </x:c>
      <x:c r="L33" s="11" t="str">
        <x:v>同DLL/接收器诊断；非完整UI</x:v>
      </x:c>
    </x:row>
    <x:row r="34" ht="44" customHeight="1">
      <x:c r="A34" s="11" t="str">
        <x:v>撤回批量候选：自身帧率诊断</x:v>
      </x:c>
      <x:c r="B34" s="11" t="str">
        <x:v>F03</x:v>
      </x:c>
      <x:c r="C34" s="11" t="str">
        <x:v>resource16frame30</x:v>
      </x:c>
      <x:c r="D34" s="11" t="str">
        <x:v>resource16frame60</x:v>
      </x:c>
      <x:c r="E34" s="13" t="n">
        <x:f>SUMIFS('原始计时'!$E$5:$E$264,'原始计时'!$A$5:$A$264,"withdrawn-resource16-batch-transfer",'原始计时'!$B$5:$B$264,"F03",'原始计时'!$C$5:$C$264,"resource16frame30")/SUMIFS('原始计时'!$F$5:$F$264,'原始计时'!$A$5:$A$264,"withdrawn-resource16-batch-transfer",'原始计时'!$B$5:$B$264,"F03",'原始计时'!$C$5:$C$264,"resource16frame30")/1000000</x:f>
        <x:v>2.931569412389735</x:v>
      </x:c>
      <x:c r="F34" s="13" t="n">
        <x:f>SUMIFS('原始计时'!$E$5:$E$264,'原始计时'!$A$5:$A$264,"withdrawn-resource16-batch-transfer",'原始计时'!$B$5:$B$264,"F03",'原始计时'!$C$5:$C$264,"resource16frame60")/SUMIFS('原始计时'!$F$5:$F$264,'原始计时'!$A$5:$A$264,"withdrawn-resource16-batch-transfer",'原始计时'!$B$5:$B$264,"F03",'原始计时'!$C$5:$C$264,"resource16frame60")/1000000</x:f>
        <x:v>3.52560479281178</x:v>
      </x:c>
      <x:c r="G34" s="14" t="n">
        <x:f>F34/E34-1</x:f>
        <x:v>0.20263391271291908</x:v>
      </x:c>
      <x:c r="H34" s="14" t="n">
        <x:f>AVERAGEIFS('原始计时'!$G$5:$G$264,'原始计时'!$A$5:$A$264,"withdrawn-resource16-batch-transfer",'原始计时'!$B$5:$B$264,"F03",'原始计时'!$C$5:$C$264,"resource16frame60")/1000000/(AVERAGEIFS('原始计时'!$G$5:$G$264,'原始计时'!$A$5:$A$264,"withdrawn-resource16-batch-transfer",'原始计时'!$B$5:$B$264,"F03",'原始计时'!$C$5:$C$264,"resource16frame30")/1000000)-1</x:f>
        <x:v>0.20260368149017327</x:v>
      </x:c>
      <x:c r="I34" s="14" t="n">
        <x:f>SUMIFS('原始计时'!$E$5:$E$264,'原始计时'!$A$5:$A$264,"withdrawn-resource16-batch-transfer",'原始计时'!$B$5:$B$264,"F03",'原始计时'!$C$5:$C$264,"resource16frame60",'原始计时'!$D$5:$D$264,1)/SUMIFS('原始计时'!$F$5:$F$264,'原始计时'!$A$5:$A$264,"withdrawn-resource16-batch-transfer",'原始计时'!$B$5:$B$264,"F03",'原始计时'!$C$5:$C$264,"resource16frame60",'原始计时'!$D$5:$D$264,1)/1000000/(SUMIFS('原始计时'!$E$5:$E$264,'原始计时'!$A$5:$A$264,"withdrawn-resource16-batch-transfer",'原始计时'!$B$5:$B$264,"F03",'原始计时'!$C$5:$C$264,"resource16frame30",'原始计时'!$D$5:$D$264,1)/SUMIFS('原始计时'!$F$5:$F$264,'原始计时'!$A$5:$A$264,"withdrawn-resource16-batch-transfer",'原始计时'!$B$5:$B$264,"F03",'原始计时'!$C$5:$C$264,"resource16frame30",'原始计时'!$D$5:$D$264,1)/1000000)-1</x:f>
        <x:v>0.08311596987178738</x:v>
      </x:c>
      <x:c r="J34" s="14" t="n">
        <x:f>SUMIFS('原始计时'!$E$5:$E$264,'原始计时'!$A$5:$A$264,"withdrawn-resource16-batch-transfer",'原始计时'!$B$5:$B$264,"F03",'原始计时'!$C$5:$C$264,"resource16frame60",'原始计时'!$D$5:$D$264,2)/SUMIFS('原始计时'!$F$5:$F$264,'原始计时'!$A$5:$A$264,"withdrawn-resource16-batch-transfer",'原始计时'!$B$5:$B$264,"F03",'原始计时'!$C$5:$C$264,"resource16frame60",'原始计时'!$D$5:$D$264,2)/1000000/(SUMIFS('原始计时'!$E$5:$E$264,'原始计时'!$A$5:$A$264,"withdrawn-resource16-batch-transfer",'原始计时'!$B$5:$B$264,"F03",'原始计时'!$C$5:$C$264,"resource16frame30",'原始计时'!$D$5:$D$264,2)/SUMIFS('原始计时'!$F$5:$F$264,'原始计时'!$A$5:$A$264,"withdrawn-resource16-batch-transfer",'原始计时'!$B$5:$B$264,"F03",'原始计时'!$C$5:$C$264,"resource16frame30",'原始计时'!$D$5:$D$264,2)/1000000)-1</x:f>
        <x:v>0.3336346209758416</x:v>
      </x:c>
      <x:c r="K34" s="11" t="str">
        <x:v>撤回候选的诊断</x:v>
      </x:c>
      <x:c r="L34" s="11" t="str">
        <x:v>同DLL/接收器诊断；非完整UI</x:v>
      </x:c>
    </x:row>
    <x:row r="35" ht="44" customHeight="1">
      <x:c r="A35" s="11" t="str">
        <x:v>撤回批量候选：自身帧率诊断</x:v>
      </x:c>
      <x:c r="B35" s="11" t="str">
        <x:v>F06</x:v>
      </x:c>
      <x:c r="C35" s="11" t="str">
        <x:v>resource16frame30</x:v>
      </x:c>
      <x:c r="D35" s="11" t="str">
        <x:v>resource16frame60</x:v>
      </x:c>
      <x:c r="E35" s="13" t="n">
        <x:f>SUMIFS('原始计时'!$E$5:$E$264,'原始计时'!$A$5:$A$264,"withdrawn-resource16-batch-transfer",'原始计时'!$B$5:$B$264,"F06",'原始计时'!$C$5:$C$264,"resource16frame30")/SUMIFS('原始计时'!$F$5:$F$264,'原始计时'!$A$5:$A$264,"withdrawn-resource16-batch-transfer",'原始计时'!$B$5:$B$264,"F06",'原始计时'!$C$5:$C$264,"resource16frame30")/1000000</x:f>
        <x:v>5.197848016797426</x:v>
      </x:c>
      <x:c r="F35" s="13" t="n">
        <x:f>SUMIFS('原始计时'!$E$5:$E$264,'原始计时'!$A$5:$A$264,"withdrawn-resource16-batch-transfer",'原始计时'!$B$5:$B$264,"F06",'原始计时'!$C$5:$C$264,"resource16frame60")/SUMIFS('原始计时'!$F$5:$F$264,'原始计时'!$A$5:$A$264,"withdrawn-resource16-batch-transfer",'原始计时'!$B$5:$B$264,"F06",'原始计时'!$C$5:$C$264,"resource16frame60")/1000000</x:f>
        <x:v>6.065933847920791</x:v>
      </x:c>
      <x:c r="G35" s="14" t="n">
        <x:f>F35/E35-1</x:f>
        <x:v>0.16700869827629594</x:v>
      </x:c>
      <x:c r="H35" s="14" t="n">
        <x:f>AVERAGEIFS('原始计时'!$G$5:$G$264,'原始计时'!$A$5:$A$264,"withdrawn-resource16-batch-transfer",'原始计时'!$B$5:$B$264,"F06",'原始计时'!$C$5:$C$264,"resource16frame60")/1000000/(AVERAGEIFS('原始计时'!$G$5:$G$264,'原始计时'!$A$5:$A$264,"withdrawn-resource16-batch-transfer",'原始计时'!$B$5:$B$264,"F06",'原始计时'!$C$5:$C$264,"resource16frame30")/1000000)-1</x:f>
        <x:v>0.16699769088196104</x:v>
      </x:c>
      <x:c r="I35" s="14" t="n">
        <x:f>SUMIFS('原始计时'!$E$5:$E$264,'原始计时'!$A$5:$A$264,"withdrawn-resource16-batch-transfer",'原始计时'!$B$5:$B$264,"F06",'原始计时'!$C$5:$C$264,"resource16frame60",'原始计时'!$D$5:$D$264,1)/SUMIFS('原始计时'!$F$5:$F$264,'原始计时'!$A$5:$A$264,"withdrawn-resource16-batch-transfer",'原始计时'!$B$5:$B$264,"F06",'原始计时'!$C$5:$C$264,"resource16frame60",'原始计时'!$D$5:$D$264,1)/1000000/(SUMIFS('原始计时'!$E$5:$E$264,'原始计时'!$A$5:$A$264,"withdrawn-resource16-batch-transfer",'原始计时'!$B$5:$B$264,"F06",'原始计时'!$C$5:$C$264,"resource16frame30",'原始计时'!$D$5:$D$264,1)/SUMIFS('原始计时'!$F$5:$F$264,'原始计时'!$A$5:$A$264,"withdrawn-resource16-batch-transfer",'原始计时'!$B$5:$B$264,"F06",'原始计时'!$C$5:$C$264,"resource16frame30",'原始计时'!$D$5:$D$264,1)/1000000)-1</x:f>
        <x:v>0.16853412717786842</x:v>
      </x:c>
      <x:c r="J35" s="14" t="n">
        <x:f>SUMIFS('原始计时'!$E$5:$E$264,'原始计时'!$A$5:$A$264,"withdrawn-resource16-batch-transfer",'原始计时'!$B$5:$B$264,"F06",'原始计时'!$C$5:$C$264,"resource16frame60",'原始计时'!$D$5:$D$264,2)/SUMIFS('原始计时'!$F$5:$F$264,'原始计时'!$A$5:$A$264,"withdrawn-resource16-batch-transfer",'原始计时'!$B$5:$B$264,"F06",'原始计时'!$C$5:$C$264,"resource16frame60",'原始计时'!$D$5:$D$264,2)/1000000/(SUMIFS('原始计时'!$E$5:$E$264,'原始计时'!$A$5:$A$264,"withdrawn-resource16-batch-transfer",'原始计时'!$B$5:$B$264,"F06",'原始计时'!$C$5:$C$264,"resource16frame30",'原始计时'!$D$5:$D$264,2)/SUMIFS('原始计时'!$F$5:$F$264,'原始计时'!$A$5:$A$264,"withdrawn-resource16-batch-transfer",'原始计时'!$B$5:$B$264,"F06",'原始计时'!$C$5:$C$264,"resource16frame30",'原始计时'!$D$5:$D$264,2)/1000000)-1</x:f>
        <x:v>0.16527939125299418</x:v>
      </x:c>
      <x:c r="K35" s="11" t="str">
        <x:v>撤回候选的诊断</x:v>
      </x:c>
      <x:c r="L35" s="11" t="str">
        <x:v>同DLL/接收器诊断；非完整UI</x:v>
      </x:c>
    </x:row>
    <x:row r="36" ht="44" customHeight="1">
      <x:c r="A36" s="11" t="str">
        <x:v>17第1轮：候选已撤回</x:v>
      </x:c>
      <x:c r="B36" s="11" t="str">
        <x:v>F04</x:v>
      </x:c>
      <x:c r="C36" s="11" t="str">
        <x:v>baseline</x:v>
      </x:c>
      <x:c r="D36" s="11" t="str">
        <x:v>candidate</x:v>
      </x:c>
      <x:c r="E36" s="13" t="n">
        <x:f>SUMIFS('原始计时'!$E$5:$E$264,'原始计时'!$A$5:$A$264,"resource17-trial-R1-vs-resource16",'原始计时'!$B$5:$B$264,"F04",'原始计时'!$C$5:$C$264,"baseline")/SUMIFS('原始计时'!$F$5:$F$264,'原始计时'!$A$5:$A$264,"resource17-trial-R1-vs-resource16",'原始计时'!$B$5:$B$264,"F04",'原始计时'!$C$5:$C$264,"baseline")/1000000</x:f>
        <x:v>1.9700827560773386</x:v>
      </x:c>
      <x:c r="F36" s="13" t="n">
        <x:f>SUMIFS('原始计时'!$E$5:$E$264,'原始计时'!$A$5:$A$264,"resource17-trial-R1-vs-resource16",'原始计时'!$B$5:$B$264,"F04",'原始计时'!$C$5:$C$264,"candidate")/SUMIFS('原始计时'!$F$5:$F$264,'原始计时'!$A$5:$A$264,"resource17-trial-R1-vs-resource16",'原始计时'!$B$5:$B$264,"F04",'原始计时'!$C$5:$C$264,"candidate")/1000000</x:f>
        <x:v>1.9529438957423695</x:v>
      </x:c>
      <x:c r="G36" s="14" t="n">
        <x:f>F36/E36-1</x:f>
        <x:v>-0.008699563651374032</x:v>
      </x:c>
      <x:c r="H36" s="14" t="n">
        <x:f>AVERAGEIFS('原始计时'!$G$5:$G$264,'原始计时'!$A$5:$A$264,"resource17-trial-R1-vs-resource16",'原始计时'!$B$5:$B$264,"F04",'原始计时'!$C$5:$C$264,"candidate")/1000000/(AVERAGEIFS('原始计时'!$G$5:$G$264,'原始计时'!$A$5:$A$264,"resource17-trial-R1-vs-resource16",'原始计时'!$B$5:$B$264,"F04",'原始计时'!$C$5:$C$264,"baseline")/1000000)-1</x:f>
        <x:v>-0.008699518616444801</x:v>
      </x:c>
      <x:c r="I36" s="14" t="n">
        <x:f>SUMIFS('原始计时'!$E$5:$E$264,'原始计时'!$A$5:$A$264,"resource17-trial-R1-vs-resource16",'原始计时'!$B$5:$B$264,"F04",'原始计时'!$C$5:$C$264,"candidate",'原始计时'!$D$5:$D$264,1)/SUMIFS('原始计时'!$F$5:$F$264,'原始计时'!$A$5:$A$264,"resource17-trial-R1-vs-resource16",'原始计时'!$B$5:$B$264,"F04",'原始计时'!$C$5:$C$264,"candidate",'原始计时'!$D$5:$D$264,1)/1000000/(SUMIFS('原始计时'!$E$5:$E$264,'原始计时'!$A$5:$A$264,"resource17-trial-R1-vs-resource16",'原始计时'!$B$5:$B$264,"F04",'原始计时'!$C$5:$C$264,"baseline",'原始计时'!$D$5:$D$264,1)/SUMIFS('原始计时'!$F$5:$F$264,'原始计时'!$A$5:$A$264,"resource17-trial-R1-vs-resource16",'原始计时'!$B$5:$B$264,"F04",'原始计时'!$C$5:$C$264,"baseline",'原始计时'!$D$5:$D$264,1)/1000000)-1</x:f>
        <x:v>0.001181533105472754</x:v>
      </x:c>
      <x:c r="J36" s="14" t="n">
        <x:f>SUMIFS('原始计时'!$E$5:$E$264,'原始计时'!$A$5:$A$264,"resource17-trial-R1-vs-resource16",'原始计时'!$B$5:$B$264,"F04",'原始计时'!$C$5:$C$264,"candidate",'原始计时'!$D$5:$D$264,2)/SUMIFS('原始计时'!$F$5:$F$264,'原始计时'!$A$5:$A$264,"resource17-trial-R1-vs-resource16",'原始计时'!$B$5:$B$264,"F04",'原始计时'!$C$5:$C$264,"candidate",'原始计时'!$D$5:$D$264,2)/1000000/(SUMIFS('原始计时'!$E$5:$E$264,'原始计时'!$A$5:$A$264,"resource17-trial-R1-vs-resource16",'原始计时'!$B$5:$B$264,"F04",'原始计时'!$C$5:$C$264,"baseline",'原始计时'!$D$5:$D$264,2)/SUMIFS('原始计时'!$F$5:$F$264,'原始计时'!$A$5:$A$264,"resource17-trial-R1-vs-resource16",'原始计时'!$B$5:$B$264,"F04",'原始计时'!$C$5:$C$264,"baseline",'原始计时'!$D$5:$D$264,2)/1000000)-1</x:f>
        <x:v>-0.018340707531268485</x:v>
      </x:c>
      <x:c r="K36" s="11" t="str">
        <x:v>撤回</x:v>
      </x:c>
      <x:c r="L36" s="11" t="str">
        <x:v>对照resource.16；不能叠加为原版收益</x:v>
      </x:c>
    </x:row>
    <x:row r="37" ht="44" customHeight="1">
      <x:c r="A37" s="11" t="str">
        <x:v>17第1轮：候选已撤回</x:v>
      </x:c>
      <x:c r="B37" s="11" t="str">
        <x:v>F04_SIMPLE</x:v>
      </x:c>
      <x:c r="C37" s="11" t="str">
        <x:v>baseline</x:v>
      </x:c>
      <x:c r="D37" s="11" t="str">
        <x:v>candidate</x:v>
      </x:c>
      <x:c r="E37" s="13" t="n">
        <x:f>SUMIFS('原始计时'!$E$5:$E$264,'原始计时'!$A$5:$A$264,"resource17-trial-R1-vs-resource16",'原始计时'!$B$5:$B$264,"F04_SIMPLE",'原始计时'!$C$5:$C$264,"baseline")/SUMIFS('原始计时'!$F$5:$F$264,'原始计时'!$A$5:$A$264,"resource17-trial-R1-vs-resource16",'原始计时'!$B$5:$B$264,"F04_SIMPLE",'原始计时'!$C$5:$C$264,"baseline")/1000000</x:f>
        <x:v>0.7690748642386035</x:v>
      </x:c>
      <x:c r="F37" s="13" t="n">
        <x:f>SUMIFS('原始计时'!$E$5:$E$264,'原始计时'!$A$5:$A$264,"resource17-trial-R1-vs-resource16",'原始计时'!$B$5:$B$264,"F04_SIMPLE",'原始计时'!$C$5:$C$264,"candidate")/SUMIFS('原始计时'!$F$5:$F$264,'原始计时'!$A$5:$A$264,"resource17-trial-R1-vs-resource16",'原始计时'!$B$5:$B$264,"F04_SIMPLE",'原始计时'!$C$5:$C$264,"candidate")/1000000</x:f>
        <x:v>0.8302007784621458</x:v>
      </x:c>
      <x:c r="G37" s="14" t="n">
        <x:f>F37/E37-1</x:f>
        <x:v>0.07947979717690812</x:v>
      </x:c>
      <x:c r="H37" s="14" t="n">
        <x:f>AVERAGEIFS('原始计时'!$G$5:$G$264,'原始计时'!$A$5:$A$264,"resource17-trial-R1-vs-resource16",'原始计时'!$B$5:$B$264,"F04_SIMPLE",'原始计时'!$C$5:$C$264,"candidate")/1000000/(AVERAGEIFS('原始计时'!$G$5:$G$264,'原始计时'!$A$5:$A$264,"resource17-trial-R1-vs-resource16",'原始计时'!$B$5:$B$264,"F04_SIMPLE",'原始计时'!$C$5:$C$264,"baseline")/1000000)-1</x:f>
        <x:v>0.07947986432529497</x:v>
      </x:c>
      <x:c r="I37" s="14" t="n">
        <x:f>SUMIFS('原始计时'!$E$5:$E$264,'原始计时'!$A$5:$A$264,"resource17-trial-R1-vs-resource16",'原始计时'!$B$5:$B$264,"F04_SIMPLE",'原始计时'!$C$5:$C$264,"candidate",'原始计时'!$D$5:$D$264,1)/SUMIFS('原始计时'!$F$5:$F$264,'原始计时'!$A$5:$A$264,"resource17-trial-R1-vs-resource16",'原始计时'!$B$5:$B$264,"F04_SIMPLE",'原始计时'!$C$5:$C$264,"candidate",'原始计时'!$D$5:$D$264,1)/1000000/(SUMIFS('原始计时'!$E$5:$E$264,'原始计时'!$A$5:$A$264,"resource17-trial-R1-vs-resource16",'原始计时'!$B$5:$B$264,"F04_SIMPLE",'原始计时'!$C$5:$C$264,"baseline",'原始计时'!$D$5:$D$264,1)/SUMIFS('原始计时'!$F$5:$F$264,'原始计时'!$A$5:$A$264,"resource17-trial-R1-vs-resource16",'原始计时'!$B$5:$B$264,"F04_SIMPLE",'原始计时'!$C$5:$C$264,"baseline",'原始计时'!$D$5:$D$264,1)/1000000)-1</x:f>
        <x:v>0.09762937307969155</x:v>
      </x:c>
      <x:c r="J37" s="14" t="n">
        <x:f>SUMIFS('原始计时'!$E$5:$E$264,'原始计时'!$A$5:$A$264,"resource17-trial-R1-vs-resource16",'原始计时'!$B$5:$B$264,"F04_SIMPLE",'原始计时'!$C$5:$C$264,"candidate",'原始计时'!$D$5:$D$264,2)/SUMIFS('原始计时'!$F$5:$F$264,'原始计时'!$A$5:$A$264,"resource17-trial-R1-vs-resource16",'原始计时'!$B$5:$B$264,"F04_SIMPLE",'原始计时'!$C$5:$C$264,"candidate",'原始计时'!$D$5:$D$264,2)/1000000/(SUMIFS('原始计时'!$E$5:$E$264,'原始计时'!$A$5:$A$264,"resource17-trial-R1-vs-resource16",'原始计时'!$B$5:$B$264,"F04_SIMPLE",'原始计时'!$C$5:$C$264,"baseline",'原始计时'!$D$5:$D$264,2)/SUMIFS('原始计时'!$F$5:$F$264,'原始计时'!$A$5:$A$264,"resource17-trial-R1-vs-resource16",'原始计时'!$B$5:$B$264,"F04_SIMPLE",'原始计时'!$C$5:$C$264,"baseline",'原始计时'!$D$5:$D$264,2)/1000000)-1</x:f>
        <x:v>0.06082572931075303</x:v>
      </x:c>
      <x:c r="K37" s="11" t="str">
        <x:v>撤回</x:v>
      </x:c>
      <x:c r="L37" s="11" t="str">
        <x:v>对照resource.16；不能叠加为原版收益</x:v>
      </x:c>
    </x:row>
    <x:row r="38" ht="44" customHeight="1">
      <x:c r="A38" s="11" t="str">
        <x:v>17第2轮：候选已撤回</x:v>
      </x:c>
      <x:c r="B38" s="11" t="str">
        <x:v>F03</x:v>
      </x:c>
      <x:c r="C38" s="11" t="str">
        <x:v>baseline</x:v>
      </x:c>
      <x:c r="D38" s="11" t="str">
        <x:v>candidate</x:v>
      </x:c>
      <x:c r="E38" s="13" t="n">
        <x:f>SUMIFS('原始计时'!$E$5:$E$264,'原始计时'!$A$5:$A$264,"resource17-trial-R2-vs-resource16",'原始计时'!$B$5:$B$264,"F03",'原始计时'!$C$5:$C$264,"baseline")/SUMIFS('原始计时'!$F$5:$F$264,'原始计时'!$A$5:$A$264,"resource17-trial-R2-vs-resource16",'原始计时'!$B$5:$B$264,"F03",'原始计时'!$C$5:$C$264,"baseline")/1000000</x:f>
        <x:v>6.155652521211973</x:v>
      </x:c>
      <x:c r="F38" s="13" t="n">
        <x:f>SUMIFS('原始计时'!$E$5:$E$264,'原始计时'!$A$5:$A$264,"resource17-trial-R2-vs-resource16",'原始计时'!$B$5:$B$264,"F03",'原始计时'!$C$5:$C$264,"candidate")/SUMIFS('原始计时'!$F$5:$F$264,'原始计时'!$A$5:$A$264,"resource17-trial-R2-vs-resource16",'原始计时'!$B$5:$B$264,"F03",'原始计时'!$C$5:$C$264,"candidate")/1000000</x:f>
        <x:v>6.583321719371854</x:v>
      </x:c>
      <x:c r="G38" s="14" t="n">
        <x:f>F38/E38-1</x:f>
        <x:v>0.06947585112807486</x:v>
      </x:c>
      <x:c r="H38" s="14" t="n">
        <x:f>AVERAGEIFS('原始计时'!$G$5:$G$264,'原始计时'!$A$5:$A$264,"resource17-trial-R2-vs-resource16",'原始计时'!$B$5:$B$264,"F03",'原始计时'!$C$5:$C$264,"candidate")/1000000/(AVERAGEIFS('原始计时'!$G$5:$G$264,'原始计时'!$A$5:$A$264,"resource17-trial-R2-vs-resource16",'原始计时'!$B$5:$B$264,"F03",'原始计时'!$C$5:$C$264,"baseline")/1000000)-1</x:f>
        <x:v>0.0694763912455918</x:v>
      </x:c>
      <x:c r="I38" s="14" t="n">
        <x:f>SUMIFS('原始计时'!$E$5:$E$264,'原始计时'!$A$5:$A$264,"resource17-trial-R2-vs-resource16",'原始计时'!$B$5:$B$264,"F03",'原始计时'!$C$5:$C$264,"candidate",'原始计时'!$D$5:$D$264,1)/SUMIFS('原始计时'!$F$5:$F$264,'原始计时'!$A$5:$A$264,"resource17-trial-R2-vs-resource16",'原始计时'!$B$5:$B$264,"F03",'原始计时'!$C$5:$C$264,"candidate",'原始计时'!$D$5:$D$264,1)/1000000/(SUMIFS('原始计时'!$E$5:$E$264,'原始计时'!$A$5:$A$264,"resource17-trial-R2-vs-resource16",'原始计时'!$B$5:$B$264,"F03",'原始计时'!$C$5:$C$264,"baseline",'原始计时'!$D$5:$D$264,1)/SUMIFS('原始计时'!$F$5:$F$264,'原始计时'!$A$5:$A$264,"resource17-trial-R2-vs-resource16",'原始计时'!$B$5:$B$264,"F03",'原始计时'!$C$5:$C$264,"baseline",'原始计时'!$D$5:$D$264,1)/1000000)-1</x:f>
        <x:v>0.006600731166748419</x:v>
      </x:c>
      <x:c r="J38" s="14" t="n">
        <x:f>SUMIFS('原始计时'!$E$5:$E$264,'原始计时'!$A$5:$A$264,"resource17-trial-R2-vs-resource16",'原始计时'!$B$5:$B$264,"F03",'原始计时'!$C$5:$C$264,"candidate",'原始计时'!$D$5:$D$264,2)/SUMIFS('原始计时'!$F$5:$F$264,'原始计时'!$A$5:$A$264,"resource17-trial-R2-vs-resource16",'原始计时'!$B$5:$B$264,"F03",'原始计时'!$C$5:$C$264,"candidate",'原始计时'!$D$5:$D$264,2)/1000000/(SUMIFS('原始计时'!$E$5:$E$264,'原始计时'!$A$5:$A$264,"resource17-trial-R2-vs-resource16",'原始计时'!$B$5:$B$264,"F03",'原始计时'!$C$5:$C$264,"baseline",'原始计时'!$D$5:$D$264,2)/SUMIFS('原始计时'!$F$5:$F$264,'原始计时'!$A$5:$A$264,"resource17-trial-R2-vs-resource16",'原始计时'!$B$5:$B$264,"F03",'原始计时'!$C$5:$C$264,"baseline",'原始计时'!$D$5:$D$264,2)/1000000)-1</x:f>
        <x:v>0.13389102725702484</x:v>
      </x:c>
      <x:c r="K38" s="11" t="str">
        <x:v>撤回</x:v>
      </x:c>
      <x:c r="L38" s="11" t="str">
        <x:v>对照resource.16；不能叠加为原版收益</x:v>
      </x:c>
    </x:row>
    <x:row r="39" ht="44" customHeight="1">
      <x:c r="A39" s="11" t="str">
        <x:v>17第2轮：候选已撤回</x:v>
      </x:c>
      <x:c r="B39" s="11" t="str">
        <x:v>F06</x:v>
      </x:c>
      <x:c r="C39" s="11" t="str">
        <x:v>baseline</x:v>
      </x:c>
      <x:c r="D39" s="11" t="str">
        <x:v>candidate</x:v>
      </x:c>
      <x:c r="E39" s="13" t="n">
        <x:f>SUMIFS('原始计时'!$E$5:$E$264,'原始计时'!$A$5:$A$264,"resource17-trial-R2-vs-resource16",'原始计时'!$B$5:$B$264,"F06",'原始计时'!$C$5:$C$264,"baseline")/SUMIFS('原始计时'!$F$5:$F$264,'原始计时'!$A$5:$A$264,"resource17-trial-R2-vs-resource16",'原始计时'!$B$5:$B$264,"F06",'原始计时'!$C$5:$C$264,"baseline")/1000000</x:f>
        <x:v>9.470341261987544</x:v>
      </x:c>
      <x:c r="F39" s="13" t="n">
        <x:f>SUMIFS('原始计时'!$E$5:$E$264,'原始计时'!$A$5:$A$264,"resource17-trial-R2-vs-resource16",'原始计时'!$B$5:$B$264,"F06",'原始计时'!$C$5:$C$264,"candidate")/SUMIFS('原始计时'!$F$5:$F$264,'原始计时'!$A$5:$A$264,"resource17-trial-R2-vs-resource16",'原始计时'!$B$5:$B$264,"F06",'原始计时'!$C$5:$C$264,"candidate")/1000000</x:f>
        <x:v>9.484205961618432</x:v>
      </x:c>
      <x:c r="G39" s="14" t="n">
        <x:f>F39/E39-1</x:f>
        <x:v>0.0014640126736022996</x:v>
      </x:c>
      <x:c r="H39" s="14" t="n">
        <x:f>AVERAGEIFS('原始计时'!$G$5:$G$264,'原始计时'!$A$5:$A$264,"resource17-trial-R2-vs-resource16",'原始计时'!$B$5:$B$264,"F06",'原始计时'!$C$5:$C$264,"candidate")/1000000/(AVERAGEIFS('原始计时'!$G$5:$G$264,'原始计时'!$A$5:$A$264,"resource17-trial-R2-vs-resource16",'原始计时'!$B$5:$B$264,"F06",'原始计时'!$C$5:$C$264,"baseline")/1000000)-1</x:f>
        <x:v>0.0014691916904214786</x:v>
      </x:c>
      <x:c r="I39" s="14" t="n">
        <x:f>SUMIFS('原始计时'!$E$5:$E$264,'原始计时'!$A$5:$A$264,"resource17-trial-R2-vs-resource16",'原始计时'!$B$5:$B$264,"F06",'原始计时'!$C$5:$C$264,"candidate",'原始计时'!$D$5:$D$264,1)/SUMIFS('原始计时'!$F$5:$F$264,'原始计时'!$A$5:$A$264,"resource17-trial-R2-vs-resource16",'原始计时'!$B$5:$B$264,"F06",'原始计时'!$C$5:$C$264,"candidate",'原始计时'!$D$5:$D$264,1)/1000000/(SUMIFS('原始计时'!$E$5:$E$264,'原始计时'!$A$5:$A$264,"resource17-trial-R2-vs-resource16",'原始计时'!$B$5:$B$264,"F06",'原始计时'!$C$5:$C$264,"baseline",'原始计时'!$D$5:$D$264,1)/SUMIFS('原始计时'!$F$5:$F$264,'原始计时'!$A$5:$A$264,"resource17-trial-R2-vs-resource16",'原始计时'!$B$5:$B$264,"F06",'原始计时'!$C$5:$C$264,"baseline",'原始计时'!$D$5:$D$264,1)/1000000)-1</x:f>
        <x:v>-0.04246292495230042</x:v>
      </x:c>
      <x:c r="J39" s="14" t="n">
        <x:f>SUMIFS('原始计时'!$E$5:$E$264,'原始计时'!$A$5:$A$264,"resource17-trial-R2-vs-resource16",'原始计时'!$B$5:$B$264,"F06",'原始计时'!$C$5:$C$264,"candidate",'原始计时'!$D$5:$D$264,2)/SUMIFS('原始计时'!$F$5:$F$264,'原始计时'!$A$5:$A$264,"resource17-trial-R2-vs-resource16",'原始计时'!$B$5:$B$264,"F06",'原始计时'!$C$5:$C$264,"candidate",'原始计时'!$D$5:$D$264,2)/1000000/(SUMIFS('原始计时'!$E$5:$E$264,'原始计时'!$A$5:$A$264,"resource17-trial-R2-vs-resource16",'原始计时'!$B$5:$B$264,"F06",'原始计时'!$C$5:$C$264,"baseline",'原始计时'!$D$5:$D$264,2)/SUMIFS('原始计时'!$F$5:$F$264,'原始计时'!$A$5:$A$264,"resource17-trial-R2-vs-resource16",'原始计时'!$B$5:$B$264,"F06",'原始计时'!$C$5:$C$264,"baseline",'原始计时'!$D$5:$D$264,2)/1000000)-1</x:f>
        <x:v>0.049578147808719386</x:v>
      </x:c>
      <x:c r="K39" s="11" t="str">
        <x:v>撤回</x:v>
      </x:c>
      <x:c r="L39" s="11" t="str">
        <x:v>对照resource.16；不能叠加为原版收益</x:v>
      </x:c>
    </x:row>
    <x:row r="40" ht="44" customHeight="1">
      <x:c r="A40" s="11" t="str">
        <x:v>17第3轮：正式采用</x:v>
      </x:c>
      <x:c r="B40" s="11" t="str">
        <x:v>F02</x:v>
      </x:c>
      <x:c r="C40" s="11" t="str">
        <x:v>baseline</x:v>
      </x:c>
      <x:c r="D40" s="11" t="str">
        <x:v>candidate</x:v>
      </x:c>
      <x:c r="E40" s="13" t="n">
        <x:f>SUMIFS('原始计时'!$E$5:$E$264,'原始计时'!$A$5:$A$264,"resource17-trial-R3-vs-resource16",'原始计时'!$B$5:$B$264,"F02",'原始计时'!$C$5:$C$264,"baseline")/SUMIFS('原始计时'!$F$5:$F$264,'原始计时'!$A$5:$A$264,"resource17-trial-R3-vs-resource16",'原始计时'!$B$5:$B$264,"F02",'原始计时'!$C$5:$C$264,"baseline")/1000000</x:f>
        <x:v>0.31593664789361403</x:v>
      </x:c>
      <x:c r="F40" s="13" t="n">
        <x:f>SUMIFS('原始计时'!$E$5:$E$264,'原始计时'!$A$5:$A$264,"resource17-trial-R3-vs-resource16",'原始计时'!$B$5:$B$264,"F02",'原始计时'!$C$5:$C$264,"candidate")/SUMIFS('原始计时'!$F$5:$F$264,'原始计时'!$A$5:$A$264,"resource17-trial-R3-vs-resource16",'原始计时'!$B$5:$B$264,"F02",'原始计时'!$C$5:$C$264,"candidate")/1000000</x:f>
        <x:v>0.45645854854469115</x:v>
      </x:c>
      <x:c r="G40" s="14" t="n">
        <x:f>F40/E40-1</x:f>
        <x:v>0.44477872886210834</x:v>
      </x:c>
      <x:c r="H40" s="14" t="n">
        <x:f>AVERAGEIFS('原始计时'!$G$5:$G$264,'原始计时'!$A$5:$A$264,"resource17-trial-R3-vs-resource16",'原始计时'!$B$5:$B$264,"F02",'原始计时'!$C$5:$C$264,"candidate")/1000000/(AVERAGEIFS('原始计时'!$G$5:$G$264,'原始计时'!$A$5:$A$264,"resource17-trial-R3-vs-resource16",'原始计时'!$B$5:$B$264,"F02",'原始计时'!$C$5:$C$264,"baseline")/1000000)-1</x:f>
        <x:v>0.44475183925270123</x:v>
      </x:c>
      <x:c r="I40" s="14" t="n">
        <x:f>SUMIFS('原始计时'!$E$5:$E$264,'原始计时'!$A$5:$A$264,"resource17-trial-R3-vs-resource16",'原始计时'!$B$5:$B$264,"F02",'原始计时'!$C$5:$C$264,"candidate",'原始计时'!$D$5:$D$264,1)/SUMIFS('原始计时'!$F$5:$F$264,'原始计时'!$A$5:$A$264,"resource17-trial-R3-vs-resource16",'原始计时'!$B$5:$B$264,"F02",'原始计时'!$C$5:$C$264,"candidate",'原始计时'!$D$5:$D$264,1)/1000000/(SUMIFS('原始计时'!$E$5:$E$264,'原始计时'!$A$5:$A$264,"resource17-trial-R3-vs-resource16",'原始计时'!$B$5:$B$264,"F02",'原始计时'!$C$5:$C$264,"baseline",'原始计时'!$D$5:$D$264,1)/SUMIFS('原始计时'!$F$5:$F$264,'原始计时'!$A$5:$A$264,"resource17-trial-R3-vs-resource16",'原始计时'!$B$5:$B$264,"F02",'原始计时'!$C$5:$C$264,"baseline",'原始计时'!$D$5:$D$264,1)/1000000)-1</x:f>
        <x:v>0.38443698019978934</x:v>
      </x:c>
      <x:c r="J40" s="14" t="n">
        <x:f>SUMIFS('原始计时'!$E$5:$E$264,'原始计时'!$A$5:$A$264,"resource17-trial-R3-vs-resource16",'原始计时'!$B$5:$B$264,"F02",'原始计时'!$C$5:$C$264,"candidate",'原始计时'!$D$5:$D$264,2)/SUMIFS('原始计时'!$F$5:$F$264,'原始计时'!$A$5:$A$264,"resource17-trial-R3-vs-resource16",'原始计时'!$B$5:$B$264,"F02",'原始计时'!$C$5:$C$264,"candidate",'原始计时'!$D$5:$D$264,2)/1000000/(SUMIFS('原始计时'!$E$5:$E$264,'原始计时'!$A$5:$A$264,"resource17-trial-R3-vs-resource16",'原始计时'!$B$5:$B$264,"F02",'原始计时'!$C$5:$C$264,"baseline",'原始计时'!$D$5:$D$264,2)/SUMIFS('原始计时'!$F$5:$F$264,'原始计时'!$A$5:$A$264,"resource17-trial-R3-vs-resource16",'原始计时'!$B$5:$B$264,"F02",'原始计时'!$C$5:$C$264,"baseline",'原始计时'!$D$5:$D$264,2)/1000000)-1</x:f>
        <x:v>0.5083251699105793</x:v>
      </x:c>
      <x:c r="K40" s="11" t="str">
        <x:v>采用</x:v>
      </x:c>
      <x:c r="L40" s="11" t="str">
        <x:v>对照resource.16；不能叠加为原版收益</x:v>
      </x:c>
    </x:row>
    <x:row r="41" ht="44" customHeight="1">
      <x:c r="A41" s="11" t="str">
        <x:v>17第3轮：正式采用</x:v>
      </x:c>
      <x:c r="B41" s="11" t="str">
        <x:v>RC04</x:v>
      </x:c>
      <x:c r="C41" s="11" t="str">
        <x:v>baseline</x:v>
      </x:c>
      <x:c r="D41" s="11" t="str">
        <x:v>candidate</x:v>
      </x:c>
      <x:c r="E41" s="13" t="n">
        <x:f>SUMIFS('原始计时'!$E$5:$E$264,'原始计时'!$A$5:$A$264,"resource17-trial-R3-vs-resource16",'原始计时'!$B$5:$B$264,"RC04",'原始计时'!$C$5:$C$264,"baseline")/SUMIFS('原始计时'!$F$5:$F$264,'原始计时'!$A$5:$A$264,"resource17-trial-R3-vs-resource16",'原始计时'!$B$5:$B$264,"RC04",'原始计时'!$C$5:$C$264,"baseline")/1000000</x:f>
        <x:v>21564.07931192484</x:v>
      </x:c>
      <x:c r="F41" s="13" t="n">
        <x:f>SUMIFS('原始计时'!$E$5:$E$264,'原始计时'!$A$5:$A$264,"resource17-trial-R3-vs-resource16",'原始计时'!$B$5:$B$264,"RC04",'原始计时'!$C$5:$C$264,"candidate")/SUMIFS('原始计时'!$F$5:$F$264,'原始计时'!$A$5:$A$264,"resource17-trial-R3-vs-resource16",'原始计时'!$B$5:$B$264,"RC04",'原始计时'!$C$5:$C$264,"candidate")/1000000</x:f>
        <x:v>22423.61595552897</x:v>
      </x:c>
      <x:c r="G41" s="14" t="n">
        <x:f>F41/E41-1</x:f>
        <x:v>0.039859649520432416</x:v>
      </x:c>
      <x:c r="H41" s="14" t="n">
        <x:f>AVERAGEIFS('原始计时'!$G$5:$G$264,'原始计时'!$A$5:$A$264,"resource17-trial-R3-vs-resource16",'原始计时'!$B$5:$B$264,"RC04",'原始计时'!$C$5:$C$264,"candidate")/1000000/(AVERAGEIFS('原始计时'!$G$5:$G$264,'原始计时'!$A$5:$A$264,"resource17-trial-R3-vs-resource16",'原始计时'!$B$5:$B$264,"RC04",'原始计时'!$C$5:$C$264,"baseline")/1000000)-1</x:f>
        <x:v>0.03985929280712619</x:v>
      </x:c>
      <x:c r="I41" s="14" t="n">
        <x:f>SUMIFS('原始计时'!$E$5:$E$264,'原始计时'!$A$5:$A$264,"resource17-trial-R3-vs-resource16",'原始计时'!$B$5:$B$264,"RC04",'原始计时'!$C$5:$C$264,"candidate",'原始计时'!$D$5:$D$264,1)/SUMIFS('原始计时'!$F$5:$F$264,'原始计时'!$A$5:$A$264,"resource17-trial-R3-vs-resource16",'原始计时'!$B$5:$B$264,"RC04",'原始计时'!$C$5:$C$264,"candidate",'原始计时'!$D$5:$D$264,1)/1000000/(SUMIFS('原始计时'!$E$5:$E$264,'原始计时'!$A$5:$A$264,"resource17-trial-R3-vs-resource16",'原始计时'!$B$5:$B$264,"RC04",'原始计时'!$C$5:$C$264,"baseline",'原始计时'!$D$5:$D$264,1)/SUMIFS('原始计时'!$F$5:$F$264,'原始计时'!$A$5:$A$264,"resource17-trial-R3-vs-resource16",'原始计时'!$B$5:$B$264,"RC04",'原始计时'!$C$5:$C$264,"baseline",'原始计时'!$D$5:$D$264,1)/1000000)-1</x:f>
        <x:v>0.02878417363488861</x:v>
      </x:c>
      <x:c r="J41" s="14" t="n">
        <x:f>SUMIFS('原始计时'!$E$5:$E$264,'原始计时'!$A$5:$A$264,"resource17-trial-R3-vs-resource16",'原始计时'!$B$5:$B$264,"RC04",'原始计时'!$C$5:$C$264,"candidate",'原始计时'!$D$5:$D$264,2)/SUMIFS('原始计时'!$F$5:$F$264,'原始计时'!$A$5:$A$264,"resource17-trial-R3-vs-resource16",'原始计时'!$B$5:$B$264,"RC04",'原始计时'!$C$5:$C$264,"candidate",'原始计时'!$D$5:$D$264,2)/1000000/(SUMIFS('原始计时'!$E$5:$E$264,'原始计时'!$A$5:$A$264,"resource17-trial-R3-vs-resource16",'原始计时'!$B$5:$B$264,"RC04",'原始计时'!$C$5:$C$264,"baseline",'原始计时'!$D$5:$D$264,2)/SUMIFS('原始计时'!$F$5:$F$264,'原始计时'!$A$5:$A$264,"resource17-trial-R3-vs-resource16",'原始计时'!$B$5:$B$264,"RC04",'原始计时'!$C$5:$C$264,"baseline",'原始计时'!$D$5:$D$264,2)/1000000)-1</x:f>
        <x:v>0.05070964717920545</x:v>
      </x:c>
      <x:c r="K41" s="11" t="str">
        <x:v>采用</x:v>
      </x:c>
      <x:c r="L41" s="11" t="str">
        <x:v>对照resource.16；不能叠加为原版收益</x:v>
      </x:c>
    </x:row>
    <x:row r="42" ht="44" customHeight="1">
      <x:c r="A42" s="11" t="str">
        <x:v>跨场次：保留接收对撤回批量</x:v>
      </x:c>
      <x:c r="B42" s="11" t="str">
        <x:v>F03</x:v>
      </x:c>
      <x:c r="C42" s="11" t="str">
        <x:v>resource16frame30（保留）</x:v>
      </x:c>
      <x:c r="D42" s="11" t="str">
        <x:v>resource16frame30（撤回）</x:v>
      </x:c>
      <x:c r="E42" s="13" t="n">
        <x:f>SUMIFS('原始计时'!$E$5:$E$264,'原始计时'!$A$5:$A$264,"resource16-product-receiver-fps",'原始计时'!$B$5:$B$264,"F03",'原始计时'!$C$5:$C$264,"resource16frame30")/SUMIFS('原始计时'!$F$5:$F$264,'原始计时'!$A$5:$A$264,"resource16-product-receiver-fps",'原始计时'!$B$5:$B$264,"F03",'原始计时'!$C$5:$C$264,"resource16frame30")/1000000</x:f>
        <x:v>3.3544385644871864</x:v>
      </x:c>
      <x:c r="F42" s="13" t="n">
        <x:f>SUMIFS('原始计时'!$E$5:$E$264,'原始计时'!$A$5:$A$264,"withdrawn-resource16-batch-transfer",'原始计时'!$B$5:$B$264,"F03",'原始计时'!$C$5:$C$264,"resource16frame30")/SUMIFS('原始计时'!$F$5:$F$264,'原始计时'!$A$5:$A$264,"withdrawn-resource16-batch-transfer",'原始计时'!$B$5:$B$264,"F03",'原始计时'!$C$5:$C$264,"resource16frame30")/1000000</x:f>
        <x:v>2.931569412389735</x:v>
      </x:c>
      <x:c r="G42" s="14" t="n">
        <x:f>F42/E42-1</x:f>
        <x:v>-0.12606257171447055</x:v>
      </x:c>
      <x:c r="H42" s="14" t="n">
        <x:f>AVERAGEIFS('原始计时'!$G$5:$G$264,'原始计时'!$A$5:$A$264,"withdrawn-resource16-batch-transfer",'原始计时'!$B$5:$B$264,"F03",'原始计时'!$C$5:$C$264,"resource16frame30")/1000000/(AVERAGEIFS('原始计时'!$G$5:$G$264,'原始计时'!$A$5:$A$264,"resource16-product-receiver-fps",'原始计时'!$B$5:$B$264,"F03",'原始计时'!$C$5:$C$264,"resource16frame30")/1000000)-1</x:f>
        <x:v>-0.1260461876992055</x:v>
      </x:c>
      <x:c r="I42" s="14" t="str">
        <x:v>不适用</x:v>
      </x:c>
      <x:c r="J42" s="14" t="str">
        <x:v>不适用</x:v>
      </x:c>
      <x:c r="K42" s="11" t="str">
        <x:v>已撤回</x:v>
      </x:c>
      <x:c r="L42" s="11" t="str">
        <x:v>独立场次合并吞吐比较，无逐轮配对因果声明</x:v>
      </x:c>
    </x:row>
    <x:row r="43" ht="44" customHeight="1">
      <x:c r="A43" s="11" t="str">
        <x:v>跨场次：保留接收对撤回批量</x:v>
      </x:c>
      <x:c r="B43" s="11" t="str">
        <x:v>F03</x:v>
      </x:c>
      <x:c r="C43" s="11" t="str">
        <x:v>resource16frame60（保留）</x:v>
      </x:c>
      <x:c r="D43" s="11" t="str">
        <x:v>resource16frame60（撤回）</x:v>
      </x:c>
      <x:c r="E43" s="13" t="n">
        <x:f>SUMIFS('原始计时'!$E$5:$E$264,'原始计时'!$A$5:$A$264,"resource16-product-receiver-fps",'原始计时'!$B$5:$B$264,"F03",'原始计时'!$C$5:$C$264,"resource16frame60")/SUMIFS('原始计时'!$F$5:$F$264,'原始计时'!$A$5:$A$264,"resource16-product-receiver-fps",'原始计时'!$B$5:$B$264,"F03",'原始计时'!$C$5:$C$264,"resource16frame60")/1000000</x:f>
        <x:v>3.9734258935841775</x:v>
      </x:c>
      <x:c r="F43" s="13" t="n">
        <x:f>SUMIFS('原始计时'!$E$5:$E$264,'原始计时'!$A$5:$A$264,"withdrawn-resource16-batch-transfer",'原始计时'!$B$5:$B$264,"F03",'原始计时'!$C$5:$C$264,"resource16frame60")/SUMIFS('原始计时'!$F$5:$F$264,'原始计时'!$A$5:$A$264,"withdrawn-resource16-batch-transfer",'原始计时'!$B$5:$B$264,"F03",'原始计时'!$C$5:$C$264,"resource16frame60")/1000000</x:f>
        <x:v>3.52560479281178</x:v>
      </x:c>
      <x:c r="G43" s="14" t="n">
        <x:f>F43/E43-1</x:f>
        <x:v>-0.11270402739748753</x:v>
      </x:c>
      <x:c r="H43" s="14" t="n">
        <x:f>AVERAGEIFS('原始计时'!$G$5:$G$264,'原始计时'!$A$5:$A$264,"withdrawn-resource16-batch-transfer",'原始计时'!$B$5:$B$264,"F03",'原始计时'!$C$5:$C$264,"resource16frame60")/1000000/(AVERAGEIFS('原始计时'!$G$5:$G$264,'原始计时'!$A$5:$A$264,"resource16-product-receiver-fps",'原始计时'!$B$5:$B$264,"F03",'原始计时'!$C$5:$C$264,"resource16frame60")/1000000)-1</x:f>
        <x:v>-0.11270930611109309</x:v>
      </x:c>
      <x:c r="I43" s="14" t="str">
        <x:v>不适用</x:v>
      </x:c>
      <x:c r="J43" s="14" t="str">
        <x:v>不适用</x:v>
      </x:c>
      <x:c r="K43" s="11" t="str">
        <x:v>已撤回</x:v>
      </x:c>
      <x:c r="L43" s="11" t="str">
        <x:v>独立场次合并吞吐比较，无逐轮配对因果声明</x:v>
      </x:c>
    </x:row>
    <x:row r="44" ht="44" customHeight="1">
      <x:c r="A44" s="11" t="str">
        <x:v>跨场次：保留接收对撤回批量</x:v>
      </x:c>
      <x:c r="B44" s="11" t="str">
        <x:v>F06</x:v>
      </x:c>
      <x:c r="C44" s="11" t="str">
        <x:v>resource16frame30（保留）</x:v>
      </x:c>
      <x:c r="D44" s="11" t="str">
        <x:v>resource16frame30（撤回）</x:v>
      </x:c>
      <x:c r="E44" s="13" t="n">
        <x:f>SUMIFS('原始计时'!$E$5:$E$264,'原始计时'!$A$5:$A$264,"resource16-product-receiver-fps",'原始计时'!$B$5:$B$264,"F06",'原始计时'!$C$5:$C$264,"resource16frame30")/SUMIFS('原始计时'!$F$5:$F$264,'原始计时'!$A$5:$A$264,"resource16-product-receiver-fps",'原始计时'!$B$5:$B$264,"F06",'原始计时'!$C$5:$C$264,"resource16frame30")/1000000</x:f>
        <x:v>5.595697797901296</x:v>
      </x:c>
      <x:c r="F44" s="13" t="n">
        <x:f>SUMIFS('原始计时'!$E$5:$E$264,'原始计时'!$A$5:$A$264,"withdrawn-resource16-batch-transfer",'原始计时'!$B$5:$B$264,"F06",'原始计时'!$C$5:$C$264,"resource16frame30")/SUMIFS('原始计时'!$F$5:$F$264,'原始计时'!$A$5:$A$264,"withdrawn-resource16-batch-transfer",'原始计时'!$B$5:$B$264,"F06",'原始计时'!$C$5:$C$264,"resource16frame30")/1000000</x:f>
        <x:v>5.197848016797426</x:v>
      </x:c>
      <x:c r="G44" s="14" t="n">
        <x:f>F44/E44-1</x:f>
        <x:v>-0.07109922577539585</x:v>
      </x:c>
      <x:c r="H44" s="14" t="n">
        <x:f>AVERAGEIFS('原始计时'!$G$5:$G$264,'原始计时'!$A$5:$A$264,"withdrawn-resource16-batch-transfer",'原始计时'!$B$5:$B$264,"F06",'原始计时'!$C$5:$C$264,"resource16frame30")/1000000/(AVERAGEIFS('原始计时'!$G$5:$G$264,'原始计时'!$A$5:$A$264,"resource16-product-receiver-fps",'原始计时'!$B$5:$B$264,"F06",'原始计时'!$C$5:$C$264,"resource16frame30")/1000000)-1</x:f>
        <x:v>-0.07109080991373107</x:v>
      </x:c>
      <x:c r="I44" s="14" t="str">
        <x:v>不适用</x:v>
      </x:c>
      <x:c r="J44" s="14" t="str">
        <x:v>不适用</x:v>
      </x:c>
      <x:c r="K44" s="11" t="str">
        <x:v>已撤回</x:v>
      </x:c>
      <x:c r="L44" s="11" t="str">
        <x:v>独立场次合并吞吐比较，无逐轮配对因果声明</x:v>
      </x:c>
    </x:row>
    <x:row r="45" ht="44" customHeight="1">
      <x:c r="A45" s="11" t="str">
        <x:v>跨场次：保留接收对撤回批量</x:v>
      </x:c>
      <x:c r="B45" s="11" t="str">
        <x:v>F06</x:v>
      </x:c>
      <x:c r="C45" s="11" t="str">
        <x:v>resource16frame60（保留）</x:v>
      </x:c>
      <x:c r="D45" s="11" t="str">
        <x:v>resource16frame60（撤回）</x:v>
      </x:c>
      <x:c r="E45" s="13" t="n">
        <x:f>SUMIFS('原始计时'!$E$5:$E$264,'原始计时'!$A$5:$A$264,"resource16-product-receiver-fps",'原始计时'!$B$5:$B$264,"F06",'原始计时'!$C$5:$C$264,"resource16frame60")/SUMIFS('原始计时'!$F$5:$F$264,'原始计时'!$A$5:$A$264,"resource16-product-receiver-fps",'原始计时'!$B$5:$B$264,"F06",'原始计时'!$C$5:$C$264,"resource16frame60")/1000000</x:f>
        <x:v>6.855194891080904</x:v>
      </x:c>
      <x:c r="F45" s="13" t="n">
        <x:f>SUMIFS('原始计时'!$E$5:$E$264,'原始计时'!$A$5:$A$264,"withdrawn-resource16-batch-transfer",'原始计时'!$B$5:$B$264,"F06",'原始计时'!$C$5:$C$264,"resource16frame60")/SUMIFS('原始计时'!$F$5:$F$264,'原始计时'!$A$5:$A$264,"withdrawn-resource16-batch-transfer",'原始计时'!$B$5:$B$264,"F06",'原始计时'!$C$5:$C$264,"resource16frame60")/1000000</x:f>
        <x:v>6.065933847920791</x:v>
      </x:c>
      <x:c r="G45" s="14" t="n">
        <x:f>F45/E45-1</x:f>
        <x:v>-0.11513327566908393</x:v>
      </x:c>
      <x:c r="H45" s="14" t="n">
        <x:f>AVERAGEIFS('原始计时'!$G$5:$G$264,'原始计时'!$A$5:$A$264,"withdrawn-resource16-batch-transfer",'原始计时'!$B$5:$B$264,"F06",'原始计时'!$C$5:$C$264,"resource16frame60")/1000000/(AVERAGEIFS('原始计时'!$G$5:$G$264,'原始计时'!$A$5:$A$264,"resource16-product-receiver-fps",'原始计时'!$B$5:$B$264,"F06",'原始计时'!$C$5:$C$264,"resource16frame60")/1000000)-1</x:f>
        <x:v>-0.11513273441644467</x:v>
      </x:c>
      <x:c r="I45" s="14" t="str">
        <x:v>不适用</x:v>
      </x:c>
      <x:c r="J45" s="14" t="str">
        <x:v>不适用</x:v>
      </x:c>
      <x:c r="K45" s="11" t="str">
        <x:v>已撤回</x:v>
      </x:c>
      <x:c r="L45" s="11" t="str">
        <x:v>独立场次合并吞吐比较，无逐轮配对因果声明</x:v>
      </x:c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</x:sheetData>
  <x:conditionalFormatting sqref="G5:J45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5" hidden="0" customWidth="1"/>
    <x:col min="3" max="3" width="110" hidden="0" customWidth="1"/>
    <x:col min="4" max="4" width="95" hidden="0" customWidth="1"/>
  </x:cols>
  <x:sheetData>
    <x:row r="1">
      <x:c r="A1" s="2"/>
      <x:c r="B1" s="2"/>
      <x:c r="C1" s="2"/>
      <x:c r="D1" s="2"/>
    </x:row>
    <x:row r="2" ht="27" customHeight="1">
      <x:c r="A2" s="3" t="str">
        <x:v>通用测试预设：35项定义</x:v>
      </x:c>
      <x:c r="B2" s="2"/>
      <x:c r="C2" s="2"/>
      <x:c r="D2" s="2"/>
    </x:row>
    <x:row r="3">
      <x:c r="A3" s="4" t="str">
        <x:v>同一种子，各条件分别按其语义判断；事件/商店各有进入前提，不证明实际同一路线可达。完整Query与预算见presets.json。</x:v>
      </x:c>
      <x:c r="B3" s="2"/>
      <x:c r="C3" s="2"/>
      <x:c r="D3" s="2"/>
    </x:row>
    <x:row r="4" ht="35" customHeight="1">
      <x:c r="A4" s="8" t="str">
        <x:v>编号</x:v>
      </x:c>
      <x:c r="B4" s="8" t="str">
        <x:v>角色、进阶与模式</x:v>
      </x:c>
      <x:c r="C4" s="8" t="str">
        <x:v>完整查询条件（同一种子，各自按语义判断）</x:v>
      </x:c>
      <x:c r="D4" s="8" t="str">
        <x:v>路线策略与边界</x:v>
      </x:c>
    </x:row>
    <x:row r="5" ht="51.599998474121094" hidden="0" customHeight="1">
      <x:c r="A5" s="2" t="str">
        <x:v>N01</x:v>
      </x:c>
      <x:c r="B5" s="15" t="str">
        <x:v>CHARACTER:IRONCLAD
进阶10；单人</x:v>
      </x:c>
      <x:c r="C5" s="15" t="str">
        <x:v>开局选择并领取 Neow 初始选项 RELIC:NEOWS_BONES。 所选 Bones 的二遗物结果必须包含 RELIC:KALEIDOSCOPE；另一件遗物不限制。这里仅指定一个目标，并非只获得一件遗物。 Bones 领取顺序不固定（AnyOrder）；存在至少一种领取顺序能同时满足全部路线内条件即可，不要求两种顺序都命中。</x:v>
      </x:c>
      <x:c r="D5" s="15" t="str">
        <x:v>未指定的其他目标不限制；不把预测结果当作地图可达性证明。</x:v>
      </x:c>
    </x:row>
    <x:row r="6" ht="51.599998474121094" hidden="0" customHeight="1">
      <x:c r="A6" s="2" t="str">
        <x:v>N02</x:v>
      </x:c>
      <x:c r="B6" s="15" t="str">
        <x:v>CHARACTER:IRONCLAD
进阶10；单人</x:v>
      </x:c>
      <x:c r="C6" s="15" t="str">
        <x:v>开局选择并领取 Neow 初始选项 RELIC:NEOWS_BONES。 所选 Bones 的二遗物结果必须同时包含 RELIC:KALEIDOSCOPE、RELIC:SMALL_CAPSULE；这两个目标占满二遗物结果，没有第三件 Bones 结果遗物槽。 Bones 领取顺序不固定（AnyOrder）；存在至少一种领取顺序能同时满足全部路线内条件即可，不要求两种顺序都命中。</x:v>
      </x:c>
      <x:c r="D6" s="15" t="str">
        <x:v>未指定的其他目标不限制；不把预测结果当作地图可达性证明。</x:v>
      </x:c>
    </x:row>
    <x:row r="7" ht="64.80000305175781" hidden="0" customHeight="1">
      <x:c r="A7" s="2" t="str">
        <x:v>N03</x:v>
      </x:c>
      <x:c r="B7" s="15" t="str">
        <x:v>CHARACTER:IRONCLAD
进阶10；单人</x:v>
      </x:c>
      <x:c r="C7" s="15" t="str">
        <x:v>开局选择并领取 Neow 初始选项 RELIC:NEOWS_BONES。 所选 Bones 的二遗物结果必须包含 RELIC:KALEIDOSCOPE；另一件遗物不限制。这里仅指定一个目标，并非只获得一件遗物。 Bones 领取顺序不固定（AnyOrder）；存在至少一种领取顺序能同时满足全部路线内条件即可，不要求两种顺序都命中。 最终诅咒必须为 CARD:GUILTY：观察所选 Bones 路线领取两件遗物并执行其相关效果后的最终诅咒，不是忽略遗物效果时的诅咒首抽。</x:v>
      </x:c>
      <x:c r="D7" s="15" t="str">
        <x:v>未指定的其他目标不限制；不把预测结果当作地图可达性证明。</x:v>
      </x:c>
    </x:row>
    <x:row r="8" ht="64.80000305175781" hidden="0" customHeight="1">
      <x:c r="A8" s="2" t="str">
        <x:v>N04</x:v>
      </x:c>
      <x:c r="B8" s="15" t="str">
        <x:v>CHARACTER:IRONCLAD
进阶10；单人</x:v>
      </x:c>
      <x:c r="C8" s="15" t="str">
        <x:v>开局选择并领取 Neow 初始选项 RELIC:NEOWS_BONES。 所选 Bones 的二遗物结果必须同时包含 RELIC:KALEIDOSCOPE、RELIC:SMALL_CAPSULE；这两个目标占满二遗物结果，没有第三件 Bones 结果遗物槽。 Bones 领取顺序不固定（AnyOrder）；存在至少一种领取顺序能同时满足全部路线内条件即可，不要求两种顺序都命中。 最终诅咒必须为 CARD:GUILTY：观察所选 Bones 路线领取两件遗物并执行其相关效果后的最终诅咒，不是忽略遗物效果时的诅咒首抽。</x:v>
      </x:c>
      <x:c r="D8" s="15" t="str">
        <x:v>未指定的其他目标不限制；不把预测结果当作地图可达性证明。</x:v>
      </x:c>
    </x:row>
    <x:row r="9" ht="64.80000305175781" hidden="0" customHeight="1">
      <x:c r="A9" s="2" t="str">
        <x:v>L01</x:v>
      </x:c>
      <x:c r="B9" s="15" t="str">
        <x:v>CHARACTER:SILENT
进阶10；单人</x:v>
      </x:c>
      <x:c r="C9" s="15" t="str">
        <x:v>开局选择并领取 Neow 初始选项 RELIC:LEAFY_POULTICE。 RELIC:LEAFY_POULTICE 的两个实际原始变牌结果中至少一张为 CARD:WELL_LAID_PLANS；另一张不限制，可与它同名；不固定生成位置。 变牌目标保留重复次数，AllowDuplicateOutputs=true；当前目标列表为 ["CARD:WELL_LAID_PLANS"]，该标志允许表达双同名目标，不会自动要求同名结果。</x:v>
      </x:c>
      <x:c r="D9" s="15" t="str">
        <x:v>未指定的其他目标不限制；不把预测结果当作地图可达性证明。</x:v>
      </x:c>
    </x:row>
    <x:row r="10" ht="64.80000305175781" hidden="0" customHeight="1">
      <x:c r="A10" s="2" t="str">
        <x:v>L02</x:v>
      </x:c>
      <x:c r="B10" s="15" t="str">
        <x:v>CHARACTER:SILENT
进阶10；单人</x:v>
      </x:c>
      <x:c r="C10" s="15" t="str">
        <x:v>开局选择并领取 Neow 初始选项 RELIC:LEAFY_POULTICE。 RELIC:LEAFY_POULTICE 的两个实际原始变牌结果按无序多重集匹配 CARD:BULLET_TIME、CARD:WELL_LAID_PLANS，两个位置不限顺序。 变牌目标保留重复次数，AllowDuplicateOutputs=true；当前目标列表为 ["CARD:BULLET_TIME", "CARD:WELL_LAID_PLANS"]，该标志允许表达双同名目标，不会自动要求同名结果。</x:v>
      </x:c>
      <x:c r="D10" s="15" t="str">
        <x:v>未指定的其他目标不限制；不把预测结果当作地图可达性证明。</x:v>
      </x:c>
    </x:row>
    <x:row r="11" ht="157.1999969482422" hidden="0" customHeight="1">
      <x:c r="A11" s="2" t="str">
        <x:v>U01</x:v>
      </x:c>
      <x:c r="B11" s="15" t="str">
        <x:v>CHARACTER:SILENT
进阶10；单人</x:v>
      </x:c>
      <x:c r="C11" s="15" t="str">
        <x:v>开局选择并领取 Neow 初始选项 RELIC:NEOWS_BONES。 所选 Bones 的二遗物结果必须同时包含 RELIC:KALEIDOSCOPE、RELIC:LEAFY_POULTICE；这两个目标占满二遗物结果，没有第三件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CARD:ROYALTIES、CARD:TRANSFIGURE；两个目标分配到不同的组，每组一个目标，组次序不限（AnyOrder），仅在同一组同时出现两个目标不满足条件。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["CARD:ROYALTIES", "CARD:TRANSFIGURE"]。 RELIC:LEAFY_POULTICE 的两个实际原始变牌结果按无序多重集匹配 CARD:BULLET_TIME、CARD:WELL_LAID_PLANS，两个位置不限顺序。 变牌目标保留重复次数，AllowDuplicateOutputs=true；当前目标列表为 ["CARD:BULLET_TIME", "CARD:WELL_LAID_PLANS"]，该标志允许表达双同名目标，不会自动要求同名结果。 最终诅咒必须为 CARD:GUILTY：观察所选 Bones 路线领取两件遗物并执行其相关效果后的最终诅咒，不是忽略遗物效果时的诅咒首抽。</x:v>
      </x:c>
      <x:c r="D11" s="15" t="str">
        <x:v>万花筒路线策略（不是另加用户供选条件）：OptionalCardCommitment 按写入的目标选择对应卡牌；未写目标的可跳过组按策略跳过。供选条件与后续实际选择策略分别记录。</x:v>
      </x:c>
    </x:row>
    <x:row r="12" ht="183.60000610351562" hidden="0" customHeight="1">
      <x:c r="A12" s="2" t="str">
        <x:v>U02</x:v>
      </x:c>
      <x:c r="B12" s="15" t="str">
        <x:v>CHARACTER:SILENT
进阶10；单人</x:v>
      </x:c>
      <x:c r="C12" s="15" t="str">
        <x:v>开局选择并领取 Neow 初始选项 RELIC:NEOWS_BONES。 所选 Bones 的二遗物结果必须同时包含 RELIC:KALEIDOSCOPE、RELIC:LEAFY_POULTICE；这两个目标占满二遗物结果，没有第三件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CARD:ROYALTIES、CARD:TRANSFIGURE；两个目标分配到不同的组，每组一个目标，组次序不限（AnyOrder），仅在同一组同时出现两个目标不满足条件。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["CARD:ROYALTIES", "CARD:TRANSFIGURE"]。 RELIC:LEAFY_POULTICE 的两个实际原始变牌结果按无序多重集匹配 CARD:BULLET_TIME、CARD:WELL_LAID_PLANS，两个位置不限顺序。 变牌目标保留重复次数，AllowDuplicateOutputs=true；当前目标列表为 ["CARD:BULLET_TIME", "CARD:WELL_LAID_PLANS"]，该标志允许表达双同名目标，不会自动要求同名结果。 最终诅咒必须为 CARD:GUILTY：观察所选 Bones 路线领取两件遗物并执行其相关效果后的最终诅咒，不是忽略遗物效果时的诅咒首抽。 初始个人 RelicGrabBag 的 Rare 遗物序列前1项，至少包含以下任一目标：RELIC:THE_COURIER；Common/Uncommon/Rare 从 Front 取序，Shop 按 Back。此处不表示实际战利品获得顺序，也不表示胶囊领取后剩余遗物袋首项。</x:v>
      </x:c>
      <x:c r="D12" s="15" t="str">
        <x:v>万花筒路线策略（不是另加用户供选条件）：OptionalCardCommitment 按写入的目标选择对应卡牌；未写目标的可跳过组按策略跳过。供选条件与后续实际选择策略分别记录。</x:v>
      </x:c>
    </x:row>
    <x:row r="13" ht="183.60000610351562" hidden="0" customHeight="1">
      <x:c r="A13" s="2" t="str">
        <x:v>U03</x:v>
      </x:c>
      <x:c r="B13" s="15" t="str">
        <x:v>CHARACTER:IRONCLAD
进阶10；单人</x:v>
      </x:c>
      <x:c r="C13" s="15" t="str">
        <x:v>开局选择并领取 Neow 初始选项 RELIC:NEOWS_BONES。 所选 Bones 的二遗物结果必须同时包含 RELIC:KALEIDOSCOPE、RELIC:SMALL_CAPSULE；这两个目标占满二遗物结果，没有第三件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CARD:ROYALTIES、CARD:TRANSFIGURE；两个目标分配到不同的组，每组一个目标，组次序不限（AnyOrder），仅在同一组同时出现两个目标不满足条件。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["CARD:ROYALTIES", "CARD:TRANSFIGURE"]。 最终诅咒必须为 CARD:GUILTY：观察所选 Bones 路线领取两件遗物并执行其相关效果后的最终诅咒，不是忽略遗物效果时的诅咒首抽。 小胶囊内部的一件遗物身份必须为 RELIC:THE_COURIER；这里限制胶囊内部遗物，不是把 RELIC:THE_COURIER 作为初始 Neow 供选。 初始个人 RelicGrabBag 的 Rare 遗物序列前1项，至少包含以下任一目标：RELIC:THE_COURIER；Common/Uncommon/Rare 从 Front 取序，Shop 按 Back。此处不表示实际战利品获得顺序，也不表示胶囊领取后剩余遗物袋首项。 按顺序观察前 3 场普通战斗牌奖励：第1场供选包含 CARD:HAVOC；第 2,3 场为不限制牌身份的通配位置。Slots 的下标对应战斗序号，不是该场供选的第几张牌；要求供选包含目标，不要求实际拿取。</x:v>
      </x:c>
      <x:c r="D13" s="15" t="str">
        <x:v>万花筒路线策略（不是另加用户供选条件）：OptionalCardCommitment 按写入的目标选择对应卡牌；未写目标的可跳过组按策略跳过。供选条件与后续实际选择策略分别记录。
小胶囊路线策略：游戏中该内部遗物可跳过；产品预测与后续路线按 AssumeObtainOnly 假定领取该遗物并应用其相关效果。
普通战斗观测前提：连续默认普通怪奖励，无额外相关 Rewards 消耗/状态扰动，已知开局遗物适配照常应用。未固定 OpeningRoute 时，Fast 使用合成未扰动续流，Production Exact 要求可证明奖励中性的真实开局路线；这不是用户指定某件开局遗物。</x:v>
      </x:c>
    </x:row>
    <x:row r="14" ht="144" hidden="0" customHeight="1">
      <x:c r="A14" s="2" t="str">
        <x:v>X03</x:v>
      </x:c>
      <x:c r="B14" s="15" t="str">
        <x:v>CHARACTER:IRONCLAD
进阶10；单人</x:v>
      </x:c>
      <x:c r="C14" s="15" t="str">
        <x:v>开局选择并领取 Neow 初始选项 RELIC:NEOWS_BONES。 所选 Bones 的二遗物结果必须同时包含 RELIC:KALEIDOSCOPE、RELIC:SMALL_CAPSULE；这两个目标占满二遗物结果，没有第三件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CARD:ROYALTIES、CARD:TRANSFIGURE；两个目标分配到不同的组，每组一个目标，组次序不限（AnyOrder），仅在同一组同时出现两个目标不满足条件。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["CARD:ROYALTIES", "CARD:TRANSFIGURE"]。 最终诅咒必须为 CARD:GUILTY：观察所选 Bones 路线领取两件遗物并执行其相关效果后的最终诅咒，不是忽略遗物效果时的诅咒首抽。 小胶囊内部的一件遗物身份必须为 RELIC:THE_COURIER；这里限制胶囊内部遗物，不是把 RELIC:THE_COURIER 作为初始 Neow 供选。</x:v>
      </x:c>
      <x:c r="D14" s="15" t="str">
        <x:v>万花筒路线策略（不是另加用户供选条件）：OptionalCardCommitment 按写入的目标选择对应卡牌；未写目标的可跳过组按策略跳过。供选条件与后续实际选择策略分别记录。
小胶囊路线策略：游戏中该内部遗物可跳过；产品预测与后续路线按 AssumeObtainOnly 假定领取该遗物并应用其相关效果。</x:v>
      </x:c>
    </x:row>
    <x:row r="15" ht="38.400001525878906" hidden="0" customHeight="1">
      <x:c r="A15" s="2" t="str">
        <x:v>F01</x:v>
      </x:c>
      <x:c r="B15" s="15" t="str">
        <x:v>CHARACTER:IRONCLAD
进阶10；单人</x:v>
      </x:c>
      <x:c r="C15" s="15" t="str">
        <x:v>初始个人 RelicGrabBag 的 Rare 遗物序列前1项，至少包含以下任一目标：RELIC:THE_COURIER；Common/Uncommon/Rare 从 Front 取序，Shop 按 Back。此处不表示实际战利品获得顺序，也不表示胶囊领取后剩余遗物袋首项。</x:v>
      </x:c>
      <x:c r="D15" s="15" t="str">
        <x:v>未指定的其他目标不限制；不把预测结果当作地图可达性证明。</x:v>
      </x:c>
    </x:row>
    <x:row r="16" ht="51.599998474121094" hidden="0" customHeight="1">
      <x:c r="A16" s="2" t="str">
        <x:v>F02</x:v>
      </x:c>
      <x:c r="B16" s="15" t="str">
        <x:v>CHARACTER:IRONCLAD
进阶10；单人</x:v>
      </x:c>
      <x:c r="C16" s="15" t="str">
        <x:v>按顺序观察前 3 场普通战斗牌奖励：第1场供选包含 CARD:HAVOC；第 2,3 场为不限制牌身份的通配位置。Slots 的下标对应战斗序号，不是该场供选的第几张牌；要求供选包含目标，不要求实际拿取。</x:v>
      </x:c>
      <x:c r="D16" s="15" t="str">
        <x:v>普通战斗观测前提：连续默认普通怪奖励，无额外相关 Rewards 消耗/状态扰动，已知开局遗物适配照常应用。未固定 OpeningRoute 时，Fast 使用合成未扰动续流，Production Exact 要求可证明奖励中性的真实开局路线；这不是用户指定某件开局遗物。</x:v>
      </x:c>
    </x:row>
    <x:row r="17" ht="51.599998474121094" hidden="0" customHeight="1">
      <x:c r="A17" s="2" t="str">
        <x:v>F03</x:v>
      </x:c>
      <x:c r="B17" s="15" t="str">
        <x:v>CHARACTER:DEFECT
进阶10；单人</x:v>
      </x:c>
      <x:c r="C17" s="15" t="str">
        <x:v>在 Trash Heap 的 Dive 分支条件观测中，潜水遗物结果为 RELIC:THE_BOOT。 在 Fake Merchant 条件观测中，六件假遗物库存供选包含 RELIC:FAKE_SNECKO_EYE；不要求购买。</x:v>
      </x:c>
      <x:c r="D17" s="15" t="str">
        <x:v>事件进入前提：以对应事件和选项已经发生、局部池和 RNG 前提不被额外扰动为条件重建事件局部结果；这些条件不会证明该事件在地图上出现、可达，或各选项可以在同一次实际事件中同时选择。</x:v>
      </x:c>
    </x:row>
    <x:row r="18" ht="38.400001525878906" hidden="0" customHeight="1">
      <x:c r="A18" s="2" t="str">
        <x:v>F04</x:v>
      </x:c>
      <x:c r="B18" s="15" t="str">
        <x:v>CHARACTER:NECROBINDER
进阶10；单人</x:v>
      </x:c>
      <x:c r="C18" s="15" t="str">
        <x:v>第1幕变体 ACT:OVERGROWTH；第1 Boss 至少包含以下任一目标：ENCOUNTER:VANTOM_BOSS；不对第2 Boss 增加条件。 第2幕变体 ACT:HIVE；第1 Boss 至少包含以下任一目标：ENCOUNTER:KAISER_CRAB_BOSS；不对第2 Boss 增加条件。</x:v>
      </x:c>
      <x:c r="D18" s="15" t="str">
        <x:v>世界条件仅观察幕变体与 Boss 身份；不包含逐节点地图生成或路线可达性证明。</x:v>
      </x:c>
    </x:row>
    <x:row r="19" ht="51.599998474121094" hidden="0" customHeight="1">
      <x:c r="A19" s="2" t="str">
        <x:v>F05</x:v>
      </x:c>
      <x:c r="B19" s="15" t="str">
        <x:v>CHARACTER:REGENT
进阶10；单人</x:v>
      </x:c>
      <x:c r="C19" s="15" t="str">
        <x:v>第1次标准普通商店的 Rare 无色供售槽为 CARD:HAND_OF_GREED。 第2次标准普通商店的 Rare 无色供售槽为 CARD:MASTER_OF_STRATEGY。</x:v>
      </x:c>
      <x:c r="D19" s="15" t="str">
        <x:v>商店进入前提：使用拥有者初始、未扰动的命名 Shops 随机流，连续成功生成标准普通商店初始库存；不要求购买，不包含购买补货/重抽/Fake Merchant/Courier 库存变化，也不证明路线能遇到相应数量商店。</x:v>
      </x:c>
    </x:row>
    <x:row r="20" ht="64.80000305175781" hidden="0" customHeight="1">
      <x:c r="A20" s="2" t="str">
        <x:v>F06</x:v>
      </x:c>
      <x:c r="B20" s="15" t="str">
        <x:v>CHARACTER:SILENT
进阶10；单人</x:v>
      </x:c>
      <x:c r="C20" s="15" t="str">
        <x:v>不指定开局变牌；按 Morphic Grove / Group（2次）→ Aroma of Chaos / LetGo（1次）→ Whispering Hollow / Hug（1次）的条件事件顺序，合计4个原始变牌身份中至少 3 个为 Rare；不指定具体目标卡。 事件进入模板提供 basic:0 与 basic:1 两个合法初始 Basic 目标（本次快照均为 CARD:STRIKE_SILENT，未升级）；原始替换池按测量时捕获的解锁/角色/单人条件固定，每个目标池 80 张。</x:v>
      </x:c>
      <x:c r="D20" s="15" t="str">
        <x:v>事件进入前提：每次进入时有足够的合法初始 Strike/Defend 可供指定变牌，局部池/RNG 前提不变；事件发生、房间路线和这些初始牌此前存活均作为前提，不是本查询证明的结果。统计原始替换身份，不把后续卡牌钩子改写的最终牌身份混入。</x:v>
      </x:c>
    </x:row>
    <x:row r="21" ht="117.5999984741211" hidden="0" customHeight="1">
      <x:c r="A21" s="2" t="str">
        <x:v>P01</x:v>
      </x:c>
      <x:c r="B21" s="15" t="str">
        <x:v>CHARACTER:IRONCLAD
进阶10；单人</x:v>
      </x:c>
      <x:c r="C21" s="15" t="str">
        <x:v>开局选择并领取 Neow 初始选项 RELIC:NEOWS_BONES。 所选 Bones 的二遗物结果必须同时包含 RELIC:KALEIDOSCOPE、RELIC:SMALL_CAPSULE；这两个目标占满二遗物结果，没有第三件 Bones 结果遗物槽。 Bones 领取顺序不固定（AnyOrder）；存在至少一种领取顺序能同时满足全部路线内条件即可，不要求两种顺序都命中。 最终诅咒必须为 CARD:GUILTY：观察所选 Bones 路线领取两件遗物并执行其相关效果后的最终诅咒，不是忽略遗物效果时的诅咒首抽。 初始个人 RelicGrabBag 的 Rare 遗物序列前1项，至少包含以下任一目标：RELIC:THE_COURIER；Common/Uncommon/Rare 从 Front 取序，Shop 按 Back。此处不表示实际战利品获得顺序，也不表示胶囊领取后剩余遗物袋首项。 按顺序观察前 3 场普通战斗牌奖励：第1场供选包含 CARD:HAVOC；第 2,3 场为不限制牌身份的通配位置。Slots 的下标对应战斗序号，不是该场供选的第几张牌；要求供选包含目标，不要求实际拿取。</x:v>
      </x:c>
      <x:c r="D21" s="15" t="str">
        <x:v>普通战斗观测前提：连续默认普通怪奖励，无额外相关 Rewards 消耗/状态扰动，已知开局遗物适配照常应用。未固定 OpeningRoute 时，Fast 使用合成未扰动续流，Production Exact 要求可证明奖励中性的真实开局路线；这不是用户指定某件开局遗物。</x:v>
      </x:c>
    </x:row>
    <x:row r="22" ht="104.4000015258789" hidden="0" customHeight="1">
      <x:c r="A22" s="2" t="str">
        <x:v>P02</x:v>
      </x:c>
      <x:c r="B22" s="15" t="str">
        <x:v>CHARACTER:IRONCLAD
进阶10；单人</x:v>
      </x:c>
      <x:c r="C22" s="15" t="str">
        <x:v>第1幕变体 ACT:OVERGROWTH；第1 Boss 至少包含以下任一目标：ENCOUNTER:VANTOM_BOSS；不对第2 Boss 增加条件。 第2幕变体 ACT:HIVE；第1 Boss 至少包含以下任一目标：ENCOUNTER:KAISER_CRAB_BOSS；不对第2 Boss 增加条件。 在 Trash Heap 的 Dive 分支条件观测中，潜水遗物结果为 RELIC:THE_BOOT。 在 Fake Merchant 条件观测中，六件假遗物库存供选包含 RELIC:FAKE_SNECKO_EYE；不要求购买。 第1次标准普通商店的 Rare 无色供售槽为 CARD:HAND_OF_GREED。 第2次标准普通商店的 Rare 无色供售槽为 CARD:MASTER_OF_STRATEGY。</x:v>
      </x:c>
      <x:c r="D22" s="15" t="str">
        <x:v>世界条件仅观察幕变体与 Boss 身份；不包含逐节点地图生成或路线可达性证明。
事件进入前提：以对应事件和选项已经发生、局部池和 RNG 前提不被额外扰动为条件重建事件局部结果；这些条件不会证明该事件在地图上出现、可达，或各选项可以在同一次实际事件中同时选择。
商店进入前提：使用拥有者初始、未扰动的命名 Shops 随机流，连续成功生成标准普通商店初始库存；不要求购买，不包含购买补货/重抽/Fake Merchant/Courier 库存变化，也不证明路线能遇到相应数量商店。</x:v>
      </x:c>
    </x:row>
    <x:row r="23" ht="64.80000305175781" hidden="0" customHeight="1">
      <x:c r="A23" s="2" t="str">
        <x:v>P03</x:v>
      </x:c>
      <x:c r="B23" s="15" t="str">
        <x:v>槽位0: CHARACTER:IRONCLAD
槽位1: CHARACTER:SILENT
进阶10；多人；完全解锁假设</x:v>
      </x:c>
      <x:c r="C23" s="15" t="str">
        <x:v>玩家槽位 0 的初始 Neow 供选：同时包含：RELIC:KALEIDOSCOPE、RELIC:NEOWS_BONES；其余供选不限制。SelectedOption 为空且个人后续条件为空，不要求实际领取其中任一指定遗物。 玩家槽位 1 的初始 Neow 供选：同时包含：RELIC:LEAFY_POULTICE、RELIC:SMALL_CAPSULE；其余供选不限制。SelectedOption 为空且个人后续条件为空，不要求实际领取其中任一指定遗物。</x:v>
      </x:c>
      <x:c r="D23" s="15" t="str">
        <x:v>未指定的其他目标不限制；不把预测结果当作地图可达性证明。</x:v>
      </x:c>
    </x:row>
    <x:row r="24" ht="170.39999389648438" hidden="0" customHeight="1">
      <x:c r="A24" s="2" t="str">
        <x:v>RC01</x:v>
      </x:c>
      <x:c r="B24" s="15" t="str">
        <x:v>CHARACTER:SILENT
进阶10；单人</x:v>
      </x:c>
      <x:c r="C24" s="15" t="str">
        <x:v>开局选择并领取 Neow 初始选项 RELIC:NEOWS_BONES。 所选 Bones 的二遗物结果必须同时包含 RELIC:KALEIDOSCOPE、RELIC:LEAFY_POULTICE；这两个目标占满二遗物结果，没有第三件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CARD:MOMENTUM_STRIKE、CARD:PALE_BLUE_DOT；两个目标分配到不同的组，每组一个目标，组次序不限（AnyOrder），仅在同一组同时出现两个目标不满足条件。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["CARD:MOMENTUM_STRIKE", "CARD:PALE_BLUE_DOT"]。 RELIC:LEAFY_POULTICE 的两个实际原始变牌结果按无序多重集匹配 CARD:BLUR、CARD:CORROSIVE_WAVE，两个位置不限顺序。 变牌目标保留重复次数，AllowDuplicateOutputs=true；当前目标列表为 ["CARD:BLUR", "CARD:CORROSIVE_WAVE"]，该标志允许表达双同名目标，不会自动要求同名结果。 最终诅咒必须为 CARD:DOUBT：观察所选 Bones 路线领取两件遗物并执行其相关效果后的最终诅咒，不是忽略遗物效果时的诅咒首抽。</x:v>
      </x:c>
      <x:c r="D24" s="15" t="str">
        <x:v>万花筒路线策略（不是另加用户供选条件）：OptionalCardCommitment 按写入的目标选择对应卡牌；未写目标的可跳过组按策略跳过。供选条件与后续实际选择策略分别记录。</x:v>
      </x:c>
    </x:row>
    <x:row r="25" ht="196.8000030517578" hidden="0" customHeight="1">
      <x:c r="A25" s="2" t="str">
        <x:v>RC02</x:v>
      </x:c>
      <x:c r="B25" s="15" t="str">
        <x:v>CHARACTER:SILENT
进阶10；单人</x:v>
      </x:c>
      <x:c r="C25" s="15" t="str">
        <x:v>开局选择并领取 Neow 初始选项 RELIC:NEOWS_BONES。 所选 Bones 的二遗物结果必须同时包含 RELIC:KALEIDOSCOPE、RELIC:LEAFY_POULTICE；这两个目标占满二遗物结果，没有第三件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CARD:FTL、CARD:WISP；两个目标分配到不同的组，每组一个目标，组次序不限（AnyOrder），仅在同一组同时出现两个目标不满足条件。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["CARD:FTL", "CARD:WISP"]。 RELIC:LEAFY_POULTICE 的两个实际原始变牌结果按无序多重集匹配 CARD:EXPOSE、CARD:SIDESTEP，两个位置不限顺序。 变牌目标保留重复次数，AllowDuplicateOutputs=true；当前目标列表为 ["CARD:EXPOSE", "CARD:SIDESTEP"]，该标志允许表达双同名目标，不会自动要求同名结果。 最终诅咒必须为 CARD:DECAY：观察所选 Bones 路线领取两件遗物并执行其相关效果后的最终诅咒，不是忽略遗物效果时的诅咒首抽。 初始个人 RelicGrabBag 的 Rare 遗物序列前1项，至少包含以下任一目标：RELIC:POCKETWATCH；Common/Uncommon/Rare 从 Front 取序，Shop 按 Back。此处不表示实际战利品获得顺序，也不表示胶囊领取后剩余遗物袋首项。 按顺序观察前 1 场普通战斗牌奖励：第1场供选包含 CARD:SNAKEBITE。Slots 的下标对应战斗序号，不是该场供选的第几张牌；要求供选包含目标，不要求实际拿取。</x:v>
      </x:c>
      <x:c r="D25" s="15" t="str">
        <x:v>万花筒路线策略（不是另加用户供选条件）：OptionalCardCommitment 按写入的目标选择对应卡牌；未写目标的可跳过组按策略跳过。供选条件与后续实际选择策略分别记录。
普通战斗观测前提：连续默认普通怪奖励，无额外相关 Rewards 消耗/状态扰动，已知开局遗物适配照常应用。未固定 OpeningRoute 时，Fast 使用合成未扰动续流，Production Exact 要求可证明奖励中性的真实开局路线；这不是用户指定某件开局遗物。</x:v>
      </x:c>
    </x:row>
    <x:row r="26" ht="170.39999389648438" hidden="0" customHeight="1">
      <x:c r="A26" s="2" t="str">
        <x:v>RC03</x:v>
      </x:c>
      <x:c r="B26" s="15" t="str">
        <x:v>CHARACTER:SILENT
进阶10；单人</x:v>
      </x:c>
      <x:c r="C26" s="15" t="str">
        <x:v>开局选择并领取 Neow 初始选项 RELIC:NEOWS_BONES。 所选 Bones 的二遗物结果必须同时包含 RELIC:KALEIDOSCOPE、RELIC:SMALL_CAPSULE；这两个目标占满二遗物结果，没有第三件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CARD:TAUNT、CARD:TRUE_GRIT；两个目标分配到不同的组，每组一个目标，组次序不限（AnyOrder），仅在同一组同时出现两个目标不满足条件。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["CARD:TAUNT", "CARD:TRUE_GRIT"]。 最终诅咒必须为 CARD:DECAY：观察所选 Bones 路线领取两件遗物并执行其相关效果后的最终诅咒，不是忽略遗物效果时的诅咒首抽。 小胶囊内部的一件遗物身份必须为 RELIC:KUSARIGAMA；这里限制胶囊内部遗物，不是把 RELIC:KUSARIGAMA 作为初始 Neow 供选。 初始个人 RelicGrabBag 的 Rare 遗物序列前1项，至少包含以下任一目标：RELIC:PAPER_KRANE；Common/Uncommon/Rare 从 Front 取序，Shop 按 Back。此处不表示实际战利品获得顺序，也不表示胶囊领取后剩余遗物袋首项。</x:v>
      </x:c>
      <x:c r="D26" s="15" t="str">
        <x:v>万花筒路线策略（不是另加用户供选条件）：OptionalCardCommitment 按写入的目标选择对应卡牌；未写目标的可跳过组按策略跳过。供选条件与后续实际选择策略分别记录。
小胶囊路线策略：游戏中该内部遗物可跳过；产品预测与后续路线按 AssumeObtainOnly 假定领取该遗物并应用其相关效果。</x:v>
      </x:c>
    </x:row>
    <x:row r="27" ht="170.39999389648438" hidden="0" customHeight="1">
      <x:c r="A27" s="2" t="str">
        <x:v>RC04</x:v>
      </x:c>
      <x:c r="B27" s="15" t="str">
        <x:v>CHARACTER:SILENT
进阶10；单人</x:v>
      </x:c>
      <x:c r="C27" s="15" t="str">
        <x:v>开局选择并领取 Neow 初始选项 RELIC:NEOWS_BONES。 所选 Bones 的二遗物结果必须同时包含 RELIC:KALEIDOSCOPE、RELIC:LARGE_CAPSULE；这两个目标占满二遗物结果，没有第三件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CARD:KINGLY_KICK、CARD:TAUNT；两个目标分配到不同的组，每组一个目标，组次序不限（AnyOrder），仅在同一组同时出现两个目标不满足条件。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["CARD:KINGLY_KICK", "CARD:TAUNT"]。 大胶囊内部的两件遗物按无序多重集包含 RELIC:BRONZE_SCALES、RELIC:RED_MASK；本项写满两个目标，顺序不限，其他固定效果不构成额外用户目标条件。 最终诅咒必须为 CARD:DEBT：观察所选 Bones 路线领取两件遗物并执行其相关效果后的最终诅咒，不是忽略遗物效果时的诅咒首抽。 按顺序观察前 1 场普通战斗牌奖励：第1场供选包含 CARD:DODGE_AND_ROLL。Slots 的下标对应战斗序号，不是该场供选的第几张牌；要求供选包含目标，不要求实际拿取。</x:v>
      </x:c>
      <x:c r="D27" s="15" t="str">
        <x:v>万花筒路线策略（不是另加用户供选条件）：OptionalCardCommitment 按写入的目标选择对应卡牌；未写目标的可跳过组按策略跳过。供选条件与后续实际选择策略分别记录。
大胶囊路线策略：内部两件遗物强制领取并按实际生成顺序执行；无序比较身份不代表交换效果执行顺序。固定加入角色 Strike/Defend 的效果照常参与路线。
普通战斗观测前提：连续默认普通怪奖励，无额外相关 Rewards 消耗/状态扰动，已知开局遗物适配照常应用。未固定 OpeningRoute 时，Fast 使用合成未扰动续流，Production Exact 要求可证明奖励中性的真实开局路线；这不是用户指定某件开局遗物。</x:v>
      </x:c>
    </x:row>
    <x:row r="28" ht="104.4000015258789" hidden="0" customHeight="1">
      <x:c r="A28" s="2" t="str">
        <x:v>RC05</x:v>
      </x:c>
      <x:c r="B28" s="15" t="str">
        <x:v>CHARACTER:SILENT
进阶10；单人</x:v>
      </x:c>
      <x:c r="C28" s="15" t="str">
        <x:v>第1幕变体 ACT:UNDERDOCKS；第1 Boss 至少包含以下任一目标：ENCOUNTER:WATERFALL_GIANT_BOSS；不对第2 Boss 增加条件。 第2幕变体 ACT:HIVE；第1 Boss 至少包含以下任一目标：ENCOUNTER:KAISER_CRAB_BOSS；不对第2 Boss 增加条件。 在 Trash Heap 的 Dive 分支条件观测中，潜水遗物结果为 RELIC:HAND_DRILL。 在 Fake Merchant 条件观测中，六件假遗物库存供选包含 RELIC:FAKE_LEES_WAFFLE；不要求购买。 第1次标准普通商店的 Rare 无色供售槽为 CARD:CALAMITY。 第2次标准普通商店的 Uncommon 无色供售槽为 CARD:THE_BOMB。</x:v>
      </x:c>
      <x:c r="D28" s="15" t="str">
        <x:v>世界条件仅观察幕变体与 Boss 身份；不包含逐节点地图生成或路线可达性证明。
事件进入前提：以对应事件和选项已经发生、局部池和 RNG 前提不被额外扰动为条件重建事件局部结果；这些条件不会证明该事件在地图上出现、可达，或各选项可以在同一次实际事件中同时选择。
商店进入前提：使用拥有者初始、未扰动的命名 Shops 随机流，连续成功生成标准普通商店初始库存；不要求购买，不包含购买补货/重抽/Fake Merchant/Courier 库存变化，也不证明路线能遇到相应数量商店。</x:v>
      </x:c>
    </x:row>
    <x:row r="29" ht="104.4000015258789" hidden="0" customHeight="1">
      <x:c r="A29" s="2" t="str">
        <x:v>RC06</x:v>
      </x:c>
      <x:c r="B29" s="15" t="str">
        <x:v>CHARACTER:SILENT
进阶10；单人</x:v>
      </x:c>
      <x:c r="C29" s="15" t="str">
        <x:v>第2幕变体 ACT:HIVE；第1 Boss 至少包含以下任一目标：ENCOUNTER:KNOWLEDGE_DEMON_BOSS；不对第2 Boss 增加条件。 第3幕变体 ACT:GLORY；第1 Boss 至少包含以下任一目标：ENCOUNTER:TEST_SUBJECT_BOSS；第2 Boss 至少包含以下任一目标：ENCOUNTER:AEONGLASS_BOSS。 在 Trash Heap 的 Grab 分支条件观测中，抓牌结果为 CARD:STACK。 在 Trash Heap 的 Dive 分支条件观测中，潜水遗物结果为 RELIC:THE_BOOT。 在 Fake Merchant 条件观测中，六件假遗物库存供选包含 RELIC:FAKE_STRIKE_DUMMY；不要求购买。 第1次标准普通商店的 Rare 无色供售槽为 CARD:REND。 第2次标准普通商店的 Uncommon 无色供售槽为 CARD:PRODUCTION。 第3次标准普通商店的 Rare 无色供售槽为 CARD:GOLD_AXE。</x:v>
      </x:c>
      <x:c r="D29" s="15" t="str">
        <x:v>世界条件仅观察幕变体与 Boss 身份；不包含逐节点地图生成或路线可达性证明。
事件进入前提：以对应事件和选项已经发生、局部池和 RNG 前提不被额外扰动为条件重建事件局部结果；这些条件不会证明该事件在地图上出现、可达，或各选项可以在同一次实际事件中同时选择。
商店进入前提：使用拥有者初始、未扰动的命名 Shops 随机流，连续成功生成标准普通商店初始库存；不要求购买，不包含购买补货/重抽/Fake Merchant/Courier 库存变化，也不证明路线能遇到相应数量商店。</x:v>
      </x:c>
    </x:row>
    <x:row r="30" ht="104.4000015258789" hidden="0" customHeight="1">
      <x:c r="A30" s="2" t="str">
        <x:v>RC07</x:v>
      </x:c>
      <x:c r="B30" s="15" t="str">
        <x:v>CHARACTER:SILENT
进阶10；单人</x:v>
      </x:c>
      <x:c r="C30" s="15" t="str">
        <x:v>初始个人 RelicGrabBag 的 Rare 遗物序列前1项，至少包含以下任一目标：RELIC:TUNGSTEN_ROD；Common/Uncommon/Rare 从 Front 取序，Shop 按 Back。此处不表示实际战利品获得顺序，也不表示胶囊领取后剩余遗物袋首项。 第1幕变体 ACT:UNDERDOCKS；第1 Boss 至少包含以下任一目标：ENCOUNTER:WATERFALL_GIANT_BOSS；不对第2 Boss 增加条件。 第3幕变体 ACT:GLORY；第1 Boss 至少包含以下任一目标：ENCOUNTER:QUEEN_BOSS；不对第2 Boss 增加条件。 在 Trash Heap 的 Dive 分支条件观测中，潜水遗物结果为 RELIC:DREAM_CATCHER。 在 Fake Merchant 条件观测中，六件假遗物库存供选包含 RELIC:FAKE_LEES_WAFFLE；不要求购买。 第1次标准普通商店的 Rare 无色供售槽为 CARD:GOLD_AXE。 第2次标准普通商店的 Uncommon 无色供售槽为 CARD:PANACHE。</x:v>
      </x:c>
      <x:c r="D30" s="15" t="str">
        <x:v>世界条件仅观察幕变体与 Boss 身份；不包含逐节点地图生成或路线可达性证明。
事件进入前提：以对应事件和选项已经发生、局部池和 RNG 前提不被额外扰动为条件重建事件局部结果；这些条件不会证明该事件在地图上出现、可达，或各选项可以在同一次实际事件中同时选择。
商店进入前提：使用拥有者初始、未扰动的命名 Shops 随机流，连续成功生成标准普通商店初始库存；不要求购买，不包含购买补货/重抽/Fake Merchant/Courier 库存变化，也不证明路线能遇到相应数量商店。</x:v>
      </x:c>
    </x:row>
    <x:row r="31" ht="144" hidden="0" customHeight="1">
      <x:c r="A31" s="2" t="str">
        <x:v>RC08</x:v>
      </x:c>
      <x:c r="B31" s="15" t="str">
        <x:v>CHARACTER:SILENT
进阶10；单人</x:v>
      </x:c>
      <x:c r="C31" s="15" t="str">
        <x:v>按顺序观察前 1 场普通战斗牌奖励：第1场供选包含 CARD:FLICK_FLACK。Slots 的下标对应战斗序号，不是该场供选的第几张牌；要求供选包含目标，不要求实际拿取。 第1幕变体 ACT:OVERGROWTH；第1 Boss 至少包含以下任一目标：ENCOUNTER:CEREMONIAL_BEAST_BOSS；不对第2 Boss 增加条件。 第3幕变体 ACT:GLORY；第1 Boss 至少包含以下任一目标：ENCOUNTER:AEONGLASS_BOSS；不对第2 Boss 增加条件。 在 Trash Heap 的 Grab 分支条件观测中，抓牌结果为 CARD:DISTRACTION。 在 Trash Heap 的 Dive 分支条件观测中，潜水遗物结果为 RELIC:DREAM_CATCHER。 在 Fake Merchant 条件观测中，六件假遗物库存供选包含 RELIC:FAKE_ANCHOR；不要求购买。 第1次标准普通商店的 Rare 无色供售槽为 CARD:REND。 第2次标准普通商店的 Uncommon 无色供售槽为 CARD:DISCOVERY。</x:v>
      </x:c>
      <x:c r="D31" s="15" t="str">
        <x:v>普通战斗观测前提：连续默认普通怪奖励，无额外相关 Rewards 消耗/状态扰动，已知开局遗物适配照常应用。未固定 OpeningRoute 时，Fast 使用合成未扰动续流，Production Exact 要求可证明奖励中性的真实开局路线；这不是用户指定某件开局遗物。
世界条件仅观察幕变体与 Boss 身份；不包含逐节点地图生成或路线可达性证明。
事件进入前提：以对应事件和选项已经发生、局部池和 RNG 前提不被额外扰动为条件重建事件局部结果；这些条件不会证明该事件在地图上出现、可达，或各选项可以在同一次实际事件中同时选择。
商店进入前提：使用拥有者初始、未扰动的命名 Shops 随机流，连续成功生成标准普通商店初始库存；不要求购买，不包含购买补货/重抽/Fake Merchant/Courier 库存变化，也不证明路线能遇到相应数量商店。</x:v>
      </x:c>
    </x:row>
    <x:row r="32" ht="183.60000610351562" hidden="0" customHeight="1">
      <x:c r="A32" s="2" t="str">
        <x:v>K01</x:v>
      </x:c>
      <x:c r="B32" s="15" t="str">
        <x:v>CHARACTER:IRONCLAD
进阶10；单人</x:v>
      </x:c>
      <x:c r="C32" s="15" t="str">
        <x:v>开局选择并领取 Neow 初始选项 RELIC:NEOWS_BONES。 所选 Bones 的二遗物结果必须同时包含 RELIC:KALEIDOSCOPE、RELIC:SMALL_CAPSULE；这两个目标占满二遗物结果，没有第三件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CARD:ROYALTIES、CARD:THE_SMITH；两个目标分配到不同的组，每组一个目标，组次序不限（AnyOrder），仅在同一组同时出现两个目标不满足条件。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["CARD:ROYALTIES", "CARD:THE_SMITH"]。 最终诅咒必须为 CARD:GUILTY：观察所选 Bones 路线领取两件遗物并执行其相关效果后的最终诅咒，不是忽略遗物效果时的诅咒首抽。 小胶囊内部的一件遗物身份必须为 RELIC:THE_COURIER；这里限制胶囊内部遗物，不是把 RELIC:THE_COURIER 作为初始 Neow 供选。 初始个人 RelicGrabBag 的 Rare 遗物序列前1项，至少包含以下任一目标：RELIC:THE_COURIER；Common/Uncommon/Rare 从 Front 取序，Shop 按 Back。此处不表示实际战利品获得顺序，也不表示胶囊领取后剩余遗物袋首项。 按顺序观察前 3 场普通战斗牌奖励：第1场供选包含 CARD:HAVOC；第 2,3 场为不限制牌身份的通配位置。Slots 的下标对应战斗序号，不是该场供选的第几张牌；要求供选包含目标，不要求实际拿取。</x:v>
      </x:c>
      <x:c r="D32" s="15" t="str">
        <x:v>万花筒路线策略（不是另加用户供选条件）：OptionalCardCommitment 按写入的目标选择对应卡牌；未写目标的可跳过组按策略跳过。供选条件与后续实际选择策略分别记录。
小胶囊路线策略：游戏中该内部遗物可跳过；产品预测与后续路线按 AssumeObtainOnly 假定领取该遗物并应用其相关效果。
普通战斗观测前提：连续默认普通怪奖励，无额外相关 Rewards 消耗/状态扰动，已知开局遗物适配照常应用。未固定 OpeningRoute 时，Fast 使用合成未扰动续流，Production Exact 要求可证明奖励中性的真实开局路线；这不是用户指定某件开局遗物。</x:v>
      </x:c>
    </x:row>
    <x:row r="33" ht="51.599998474121094" hidden="0" customHeight="1">
      <x:c r="A33" s="2" t="str">
        <x:v>B01</x:v>
      </x:c>
      <x:c r="B33" s="15" t="str">
        <x:v>CHARACTER:SILENT
进阶10；单人</x:v>
      </x:c>
      <x:c r="C33" s="15" t="str">
        <x:v>开局选择并领取 Neow 初始选项 RELIC:NEOWS_BONES。 在 Trash Heap 的 Grab 分支条件观测中，抓牌结果为 CARD:STACK。 在 Trash Heap 的 Dive 分支条件观测中，潜水遗物结果为 RELIC:THE_BOOT。 在 Fake Merchant 条件观测中，六件假遗物库存供选包含 RELIC:FAKE_STRIKE_DUMMY；不要求购买。</x:v>
      </x:c>
      <x:c r="D33" s="15" t="str">
        <x:v>事件进入前提：以对应事件和选项已经发生、局部池和 RNG 前提不被额外扰动为条件重建事件局部结果；这些条件不会证明该事件在地图上出现、可达，或各选项可以在同一次实际事件中同时选择。</x:v>
      </x:c>
    </x:row>
    <x:row r="34" ht="51.599998474121094" hidden="0" customHeight="1">
      <x:c r="A34" s="2" t="str">
        <x:v>S3</x:v>
      </x:c>
      <x:c r="B34" s="15" t="str">
        <x:v>CHARACTER:SILENT
进阶10；单人</x:v>
      </x:c>
      <x:c r="C34" s="15" t="str">
        <x:v>前3次标准普通商店的 Uncommon 无色供售槽按店序依次为 CARD:MIND_BLAST → CARD:THE_BOMB → CARD:THRUMMING_HATCHET。 前3次标准普通商店的 Rare 无色供售槽按店序依次为 CARD:CALAMITY → CARD:BEAT_DOWN → CARD:THE_GAMBIT。</x:v>
      </x:c>
      <x:c r="D34" s="15" t="str">
        <x:v>商店进入前提：使用拥有者初始、未扰动的命名 Shops 随机流，连续成功生成标准普通商店初始库存；不要求购买，不包含购买补货/重抽/Fake Merchant/Courier 库存变化，也不证明路线能遇到相应数量商店。</x:v>
      </x:c>
    </x:row>
    <x:row r="35" ht="51.599998474121094" hidden="0" customHeight="1">
      <x:c r="A35" s="2" t="str">
        <x:v>S5</x:v>
      </x:c>
      <x:c r="B35" s="15" t="str">
        <x:v>CHARACTER:SILENT
进阶10；单人</x:v>
      </x:c>
      <x:c r="C35" s="15" t="str">
        <x:v>前5次标准普通商店的 Rare 无色供售槽按店序依次为 CARD:CALAMITY → CARD:BEAT_DOWN → CARD:THE_GAMBIT → CARD:ETERNAL_ARMOR → CARD:ENTROPY。</x:v>
      </x:c>
      <x:c r="D35" s="15" t="str">
        <x:v>商店进入前提：使用拥有者初始、未扰动的命名 Shops 随机流，连续成功生成标准普通商店初始库存；不要求购买，不包含购买补货/重抽/Fake Merchant/Courier 库存变化，也不证明路线能遇到相应数量商店。</x:v>
      </x:c>
    </x:row>
    <x:row r="36" ht="51.599998474121094" hidden="0" customHeight="1">
      <x:c r="A36" s="2" t="str">
        <x:v>SAA</x:v>
      </x:c>
      <x:c r="B36" s="15" t="str">
        <x:v>CHARACTER:SILENT
进阶10；单人</x:v>
      </x:c>
      <x:c r="C36" s="15" t="str">
        <x:v>第1次标准普通商店的 Rare 无色供售槽为 CARD:CALAMITY。 第2次标准普通商店的 Rare 无色供售槽为 CARD:BEAT_DOWN。 第3次标准普通商店的 Rare 无色供售槽为 CARD:THE_GAMBIT。 第4次标准普通商店的 Rare 无色供售槽为 CARD:ETERNAL_ARMOR。 第5次标准普通商店的 Rare 无色供售槽为 CARD:ENTROPY。</x:v>
      </x:c>
      <x:c r="D36" s="15" t="str">
        <x:v>商店进入前提：使用拥有者初始、未扰动的命名 Shops 随机流，连续成功生成标准普通商店初始库存；不要求购买，不包含购买补货/重抽/Fake Merchant/Courier 库存变化，也不证明路线能遇到相应数量商店。</x:v>
      </x:c>
    </x:row>
    <x:row r="37" ht="183.60000610351562" hidden="0" customHeight="1">
      <x:c r="A37" s="2" t="str">
        <x:v>C01</x:v>
      </x:c>
      <x:c r="B37" s="15" t="str">
        <x:v>CHARACTER:IRONCLAD
进阶10；单人</x:v>
      </x:c>
      <x:c r="C37" s="15" t="str">
        <x:v>开局选择并领取 Neow 初始选项 RELIC:NEOWS_BONES。 所选 Bones 的二遗物结果必须同时包含 RELIC:KALEIDOSCOPE、RELIC:SMALL_CAPSULE；这两个目标占满二遗物结果，没有第三件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CARD:ROYALTIES、CARD:TRANSFIGURE；两个目标分配到不同的组，每组一个目标，组次序不限（AnyOrder），仅在同一组同时出现两个目标不满足条件。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["CARD:ROYALTIES", "CARD:TRANSFIGURE"]。 最终诅咒必须为 CARD:GUILTY：观察所选 Bones 路线领取两件遗物并执行其相关效果后的最终诅咒，不是忽略遗物效果时的诅咒首抽。 小胶囊内部的一件遗物身份必须为 RELIC:THE_COURIER；这里限制胶囊内部遗物，不是把 RELIC:THE_COURIER 作为初始 Neow 供选。 初始个人 RelicGrabBag 的 Rare 遗物序列前1项，至少包含以下任一目标：RELIC:THE_COURIER；Common/Uncommon/Rare 从 Front 取序，Shop 按 Back。此处不表示实际战利品获得顺序，也不表示胶囊领取后剩余遗物袋首项。 按顺序观察前 3 场普通战斗牌奖励：第1场供选包含 CARD:HAVOC；第 2,3 场为不限制牌身份的通配位置。Slots 的下标对应战斗序号，不是该场供选的第几张牌；要求供选包含目标，不要求实际拿取。</x:v>
      </x:c>
      <x:c r="D37" s="15" t="str">
        <x:v>万花筒路线策略（不是另加用户供选条件）：OptionalCardCommitment 按写入的目标选择对应卡牌；未写目标的可跳过组按策略跳过。供选条件与后续实际选择策略分别记录。
小胶囊路线策略：游戏中该内部遗物可跳过；产品预测与后续路线按 AssumeObtainOnly 假定领取该遗物并应用其相关效果。
普通战斗观测前提：连续默认普通怪奖励，无额外相关 Rewards 消耗/状态扰动，已知开局遗物适配照常应用。未固定 OpeningRoute 时，Fast 使用合成未扰动续流，Production Exact 要求可证明奖励中性的真实开局路线；这不是用户指定某件开局遗物。</x:v>
      </x:c>
    </x:row>
    <x:row r="38" ht="183.60000610351562" hidden="0" customHeight="1">
      <x:c r="A38" s="2" t="str">
        <x:v>C02</x:v>
      </x:c>
      <x:c r="B38" s="15" t="str">
        <x:v>CHARACTER:SILENT
进阶10；单人</x:v>
      </x:c>
      <x:c r="C38" s="15" t="str">
        <x:v>开局选择并领取 Neow 初始选项 RELIC:NEOWS_BONES。 所选 Bones 的二遗物结果必须同时包含 RELIC:KALEIDOSCOPE、RELIC:LEAFY_POULTICE；这两个目标占满二遗物结果，没有第三件 Bones 结果遗物槽。 Bones 领取顺序不固定（AnyOrder）；存在至少一种领取顺序能同时满足全部路线内条件即可，不要求两种顺序都命中。 万花筒的两个独立可选牌组必须能分别供选 CARD:ROYALTIES、CARD:TRANSFIGURE；两个目标分配到不同的组，每组一个目标，组次序不限（AnyOrder），仅在同一组同时出现两个目标不满足条件。 OutputKeys 按目标多重集解释；相同 ID 写两次代表两组各需一份。同名可重复标志 AllowDuplicateOutputs=true，本项实际写入目标为 ["CARD:ROYALTIES", "CARD:TRANSFIGURE"]。 RELIC:LEAFY_POULTICE 的两个实际原始变牌结果按无序多重集匹配 CARD:BULLET_TIME、CARD:WELL_LAID_PLANS，两个位置不限顺序。 变牌目标保留重复次数，AllowDuplicateOutputs=true；当前目标列表为 ["CARD:BULLET_TIME", "CARD:WELL_LAID_PLANS"]，该标志允许表达双同名目标，不会自动要求同名结果。 最终诅咒必须为 CARD:GUILTY：观察所选 Bones 路线领取两件遗物并执行其相关效果后的最终诅咒，不是忽略遗物效果时的诅咒首抽。 初始个人 RelicGrabBag 的 Rare 遗物序列前1项，至少包含以下任一目标：RELIC:THE_COURIER；Common/Uncommon/Rare 从 Front 取序，Shop 按 Back。此处不表示实际战利品获得顺序，也不表示胶囊领取后剩余遗物袋首项。</x:v>
      </x:c>
      <x:c r="D38" s="15" t="str">
        <x:v>万花筒路线策略（不是另加用户供选条件）：OptionalCardCommitment 按写入的目标选择对应卡牌；未写目标的可跳过组按策略跳过。供选条件与后续实际选择策略分别记录。</x:v>
      </x:c>
    </x:row>
    <x:row r="39" ht="38.400001525878906" hidden="0" customHeight="1">
      <x:c r="A39" s="2" t="str">
        <x:v>F04_SIMPLE</x:v>
      </x:c>
      <x:c r="B39" s="15" t="str">
        <x:v>CHARACTER:NECROBINDER
进阶10；单人</x:v>
      </x:c>
      <x:c r="C39" s="15" t="str">
        <x:v>第1幕变体 ACT:OVERGROWTH；第1 Boss 至少包含以下任一目标：ENCOUNTER:VANTOM_BOSS；不对第2 Boss 增加条件。</x:v>
      </x:c>
      <x:c r="D39" s="15" t="str">
        <x:v>世界条件仅观察幕变体与 Boss 身份；不包含逐节点地图生成或路线可达性证明。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12" hidden="0" customWidth="1"/>
  </x:cols>
  <x:sheetData>
    <x:row r="1">
      <x:c r="A1" s="2"/>
      <x:c r="B1" s="2"/>
    </x:row>
    <x:row r="2" ht="27" customHeight="1">
      <x:c r="A2" s="3" t="str">
        <x:v>测试配置与统计口径</x:v>
      </x:c>
      <x:c r="B2" s="2"/>
    </x:row>
    <x:row r="3">
      <x:c r="A3" s="4" t="str">
        <x:v>历史硬件快照与整理时补录分别标注；各场景批次、预热及实际路线由JSON和原始计时表固定。</x:v>
      </x:c>
      <x:c r="B3" s="2"/>
    </x:row>
    <x:row r="4" ht="35" customHeight="1">
      <x:c r="A4" s="8" t="str">
        <x:v>配置项</x:v>
      </x:c>
      <x:c r="B4" s="8" t="str">
        <x:v>记录与说明</x:v>
      </x:c>
    </x:row>
    <x:row r="5" ht="36" customHeight="1">
      <x:c r="A5" s="11" t="str">
        <x:v>处理器</x:v>
      </x:c>
      <x:c r="B5" s="11" t="str">
        <x:v>Intel Core i9-14900HX，24核、32逻辑处理器</x:v>
      </x:c>
    </x:row>
    <x:row r="6" ht="36" customHeight="1">
      <x:c r="A6" s="11" t="str">
        <x:v>内存</x:v>
      </x:c>
      <x:c r="B6" s="11" t="str">
        <x:v>系统报告 68,314,161,152 bytes（63.62 GiB，约64GiB配置）</x:v>
      </x:c>
    </x:row>
    <x:row r="7" ht="38" customHeight="1">
      <x:c r="A7" s="11" t="str">
        <x:v>显卡</x:v>
      </x:c>
      <x:c r="B7" s="11" t="str">
        <x:v>NVIDIA GeForce RTX 4090 Laptop GPU，16376 MiB显存（约16GiB）</x:v>
      </x:c>
    </x:row>
    <x:row r="8" ht="36" customHeight="1">
      <x:c r="A8" s="11" t="str">
        <x:v>驱动</x:v>
      </x:c>
      <x:c r="B8" s="11" t="str">
        <x:v>596.49，来自2026-10-26历史硬件快照；后续场次未重新完整采集驱动/内存快照</x:v>
      </x:c>
    </x:row>
    <x:row r="9" ht="36" customHeight="1">
      <x:c r="A9" s="11" t="str">
        <x:v>游戏</x:v>
      </x:c>
      <x:c r="B9" s="11" t="str">
        <x:v>Slay the Spire 2，0.111.0，Beta111预测配置</x:v>
      </x:c>
    </x:row>
    <x:row r="10" ht="38" customHeight="1">
      <x:c r="A10" s="11" t="str">
        <x:v>游戏引擎与图形后端</x:v>
      </x:c>
      <x:c r="B10" s="11" t="str">
        <x:v>原始日志：MegaDot v4.5.1.m.14.mono.custom_build；D3D12 12_0，Forward+</x:v>
      </x:c>
    </x:row>
    <x:row r="11" ht="36" customHeight="1">
      <x:c r="A11" s="11" t="str">
        <x:v>运行环境</x:v>
      </x:c>
      <x:c r="B11" s="11" t="str">
        <x:v>沿用游戏自带.NET/Godot；源码目标框架net9.0；每轮实际.NET补丁版本未记录</x:v>
      </x:c>
    </x:row>
    <x:row r="12" ht="38" customHeight="1">
      <x:c r="A12" s="11" t="str">
        <x:v>操作系统补录</x:v>
      </x:c>
      <x:c r="B12" s="11" t="str">
        <x:v>2026-10-27整理时查询：Windows 11 家庭版中文版，10.0.26200，Build 26200；不是2026-10-26逐轮OS快照</x:v>
      </x:c>
    </x:row>
    <x:row r="13" ht="38" customHeight="1">
      <x:c r="A13" s="11" t="str">
        <x:v>功耗限制与实际CPU频率</x:v>
      </x:c>
      <x:c r="B13" s="11" t="str">
        <x:v>GPU功耗上限历史采样为N/A；未记录可用的CPU实测频率，不能将OS报告2200MHz当作实际跑种频率</x:v>
      </x:c>
    </x:row>
    <x:row r="14" ht="36" customHeight="1">
      <x:c r="A14" s="11" t="str">
        <x:v>请求工作线程</x:v>
      </x:c>
      <x:c r="B14" s="11" t="str">
        <x:v>32；不保证两个版本实际采用相同物理并行度。原版CPU路线P1到新版P32是产品实现差异之一</x:v>
      </x:c>
    </x:row>
    <x:row r="15" ht="36" customHeight="1">
      <x:c r="A15" s="11" t="str">
        <x:v>优化开关</x:v>
      </x:c>
      <x:c r="B15" s="11" t="str">
        <x:v>候选版七项正式优化全开；原版是独立上游源码，不是把新版开关全部关闭</x:v>
      </x:c>
    </x:row>
    <x:row r="16" ht="36" customHeight="1">
      <x:c r="A16" s="11" t="str">
        <x:v>枚举起点</x:v>
      </x:c>
      <x:c r="B16" s="11" t="str">
        <x:v>9KT7EQEZ0000；预热推进后开始计时。不同预热预算的计时区间会不同</x:v>
      </x:c>
    </x:row>
    <x:row r="17" ht="38" customHeight="1">
      <x:c r="A17" s="11" t="str">
        <x:v>批次和预热</x:v>
      </x:c>
      <x:c r="B17" s="11" t="str">
        <x:v>各场景分别记录，见原始计时表及presets.json backendGeometry；0批次上限表示采用该产品原生窗口</x:v>
      </x:c>
    </x:row>
    <x:row r="18" ht="38" customHeight="1">
      <x:c r="A18" s="11" t="str">
        <x:v>原全量帧率</x:v>
      </x:c>
      <x:c r="B18" s="11" t="str">
        <x:v>启动请求 --minimized --max-fps 30；未记录逐计时窗口actualFPS，不声称实测稳定30FPS</x:v>
      </x:c>
    </x:row>
    <x:row r="19" ht="36" customHeight="1">
      <x:c r="A19" s="11" t="str">
        <x:v>原全量结果读取</x:v>
      </x:c>
      <x:c r="B19" s="11" t="str">
        <x:v>raw结果队列4096，主线程按帧排空；这不是后来使用的连续读取协议</x:v>
      </x:c>
    </x:row>
    <x:row r="20" ht="36" customHeight="1">
      <x:c r="A20" s="11" t="str">
        <x:v>后续16/17公平对照</x:v>
      </x:c>
      <x:c r="B20" s="11" t="str">
        <x:v>强制30FPS并记录实际帧率；同一raw连续读取器、输出队列4096；不含完整界面保存与渲染</x:v>
      </x:c>
    </x:row>
    <x:row r="21" ht="38" customHeight="1">
      <x:c r="A21" s="11" t="str">
        <x:v>接收器帧率诊断</x:v>
      </x:c>
      <x:c r="B21" s="11" t="str">
        <x:v>同resource.16、目标int.MaxValue、源队列4096、接收缓冲65536、主线程每帧排空；与普通UI目标1至1000不同</x:v>
      </x:c>
    </x:row>
    <x:row r="22" ht="38" customHeight="1">
      <x:c r="A22" s="11" t="str">
        <x:v>预测前提</x:v>
      </x:c>
      <x:c r="B22" s="11" t="str">
        <x:v>冻结预设使用AncientPremises.BroadDefault，完整前提位在presets.json；事件/商店结果预测以进入相应事件或商店为前提，不证明地图可达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5" hidden="0" customWidth="1"/>
    <x:col min="3" max="3" width="80" hidden="0" customWidth="1"/>
    <x:col min="4" max="4" width="95" hidden="0" customWidth="1"/>
  </x:cols>
  <x:sheetData>
    <x:row r="1">
      <x:c r="A1" s="2"/>
      <x:c r="B1" s="2"/>
      <x:c r="C1" s="2"/>
      <x:c r="D1" s="2"/>
    </x:row>
    <x:row r="2" ht="27" customHeight="1">
      <x:c r="A2" s="3" t="str">
        <x:v>当前正式版的优化机制</x:v>
      </x:c>
      <x:c r="B2" s="2"/>
      <x:c r="C2" s="2"/>
      <x:c r="D2" s="2"/>
    </x:row>
    <x:row r="3">
      <x:c r="A3" s="4" t="str">
        <x:v>resource.17；七个玩家开关、13项机制，不是13项独立收益。预算和精确续算属于控制与恢复功能。</x:v>
      </x:c>
      <x:c r="B3" s="2"/>
      <x:c r="C3" s="2"/>
      <x:c r="D3" s="2"/>
    </x:row>
    <x:row r="4" ht="35" customHeight="1">
      <x:c r="A4" s="8" t="str">
        <x:v>机制</x:v>
      </x:c>
      <x:c r="B4" s="8" t="str">
        <x:v>开关</x:v>
      </x:c>
      <x:c r="C4" s="8" t="str">
        <x:v>适用范围</x:v>
      </x:c>
      <x:c r="D4" s="8" t="str">
        <x:v>回退与限制</x:v>
      </x:c>
    </x:row>
    <x:row r="5" ht="60.79999923706055" hidden="0" customHeight="1">
      <x:c r="A5" s="11" t="str">
        <x:v>1. 种子前缀哈希缓存</x:v>
      </x:c>
      <x:c r="B5" s="11" t="str">
        <x:v>PrefixCache</x:v>
      </x:c>
      <x:c r="C5" s="11" t="str">
        <x:v>GPU已接入的开局、遗物、商店、奖励、事件、古人、世界、变牌等执行器；CPU限Beta111、12字符与匹配字母表的连续工作分区。缓存前8字符的纯哈希状态，不是奖励或RNG结果。</x:v>
      </x:c>
      <x:c r="D5" s="11" t="str">
        <x:v>关闭后对应路线用完整哈希，并禁止依赖前缀缓存的CPU四路预筛；格式或准入不符按原哈希。合法起点/未对齐断点保留。 GPU共享表按实际编号取值，每表至多14行/240字节；超过现有16M有界表覆盖用完整哈希。CPU前缀本身不要求AVX2；不能称所有路线均已接入。</x:v>
      </x:c>
    </x:row>
    <x:row r="6" ht="34.400001525878906" hidden="0" customHeight="1">
      <x:c r="A6" s="11" t="str">
        <x:v>2. 快速精确抽取区间</x:v>
      </x:c>
      <x:c r="B6" s="11" t="str">
        <x:v>ExactDrawIntervals</x:v>
      </x:c>
      <x:c r="C6" s="11" t="str">
        <x:v>开局首诅咒与适用叶药布尔前筛，使用等价53位随机整数接受区间。</x:v>
      </x:c>
      <x:c r="D6" s="11" t="str">
        <x:v>关闭、等价性不能证明或每目标超过2段预算时保留原谓词。 不是全部卡牌/事件/最终诅咒的通用区间算法；重复成员、相同/无序双目标和RNG语义必须保持。</x:v>
      </x:c>
    </x:row>
    <x:row r="7" ht="34.400001525878906" hidden="0" customHeight="1">
      <x:c r="A7" s="11" t="str">
        <x:v>3. 叶药按需初始化</x:v>
      </x:c>
      <x:c r="B7" s="11" t="str">
        <x:v>LeafyLazyInitialization</x:v>
      </x:c>
      <x:c r="C7" s="11" t="str">
        <x:v>已证明安全的叶药双目标捷径，第一抽已不匹配时省去后续准备与计算。</x:v>
      </x:c>
      <x:c r="D7" s="11" t="str">
        <x:v>关闭、形状复杂或准入不符时用原初始化/检查，后续完整Exact保留。 只适用部分叶药双目标前筛，不能推广全部叶药或全部预设。</x:v>
      </x:c>
    </x:row>
    <x:row r="8" ht="60.79999923706055" hidden="0" customHeight="1">
      <x:c r="A8" s="11" t="str">
        <x:v>4. 按成本安排筛选及已证明的顺序提前淘汰</x:v>
      </x:c>
      <x:c r="B8" s="11" t="str">
        <x:v>CostOrderedFilters</x:v>
      </x:c>
      <x:c r="C8" s="11" t="str">
        <x:v>在依赖关系允许且报价完整时按成本/淘汰率/候选规模规划。包含适用单人分阶段Dense开局最终诅咒必要条件前置；Beta111精确商店有序1至5店条件转为逐店位置；E/S Compact 64至1,048,575候选的保守有界报价补齐。也控制第11至13机制。</x:v>
      </x:c>
      <x:c r="D8" s="11" t="str">
        <x:v>关闭后禁用这些新增顺序、四路预筛、池准备、稀疏报价补齐和同候选开局复用。未知形状、权威数据/报价缺失沿原路径。 开局多人/复合/joint变牌/Compact或私有输入等保留原顺序；私有输出不能一概排除。有序商店只提前淘汰已证明位置，不改变无序前三店任一语义，末尾通配不延长范围。稀疏报价为估算，非新硬件实测或新执行能力。</x:v>
      </x:c>
    </x:row>
    <x:row r="9" ht="47.599998474121094" hidden="0" customHeight="1">
      <x:c r="A9" s="11" t="str">
        <x:v>5. GPU工作组汇总候选</x:v>
      </x:c>
      <x:c r="B9" s="11" t="str">
        <x:v>GroupedOutput</x:v>
      </x:c>
      <x:c r="C9" s="11" t="str">
        <x:v>适用单人分阶段Dense开局stage0/4，先在工作组汇总再合作写入。</x:v>
      </x:c>
      <x:c r="D9" s="11" t="str">
        <x:v>关闭或门槛不符使用原输出；stage1/2保持原实现。 每组至多512候选，6152字节共享内存；不新增设备缓冲/CPU回读/等待。Compact、私有输入、多人、复合、joint变牌等不适用；私有输出不是一概排除条件。</x:v>
      </x:c>
    </x:row>
    <x:row r="10" ht="47.599998474121094" hidden="0" customHeight="1">
      <x:c r="A10" s="11" t="str">
        <x:v>6. 双窗口批处理</x:v>
      </x:c>
      <x:c r="B10" s="11" t="str">
        <x:v>DoubleWindowBatching</x:v>
      </x:c>
      <x:c r="C10" s="11" t="str">
        <x:v>适用单人Leafy前筛、分阶段Dense、非私有输入输出/非复合/非多人且GPU预算100%的大批量路线，合并相邻两个独立16M窗口的提交/同步。</x:v>
      </x:c>
      <x:c r="D10" s="11" t="str">
        <x:v>关闭或准入不符用单窗；可选第二窗口初始化失败且清理成功时按原窗口顺序运行。 额外显存约180MiB；高通过率、CPU终检瓶颈、较少显存时不保证提速，取消粒度可能变粗。基础初始化/清理/已提交计算错误必须报错，不能伪装安全回退或重跑失败提交。</x:v>
      </x:c>
    </x:row>
    <x:row r="11" ht="47.599998474121094" hidden="0" customHeight="1">
      <x:c r="A11" s="11" t="str">
        <x:v>7. 同次提交状态头异步回传及自适应稀疏载荷预取</x:v>
      </x:c>
      <x:c r="B11" s="11" t="str">
        <x:v>AsyncHeaderReadback</x:v>
      </x:c>
      <x:c r="C11" s="11" t="str">
        <x:v>支持的GPU状态头在同一次原提交前登记回传；开局公有输出保留由真实稀疏候选触发的有界载荷预取。</x:v>
      </x:c>
      <x:c r="D11" s="11" t="str">
        <x:v>关闭为同步回读；登记接口不支持时仍只提交一次后同步读取。结果量超预取范围按真实数量完整读取，错误终止。 稀疏预取默认休眠，真实数量1至1024时激活后续64物理窗口，空窗递减，超过1024停用，活跃时至多4KiB；左右窗分别维护历史，私有输出/空输入不预取。此开关不控制第10机制。</x:v>
      </x:c>
    </x:row>
    <x:row r="12" ht="34.400001525878906" hidden="0" customHeight="1">
      <x:c r="A12" s="11" t="str">
        <x:v>8. 商店末尾13步延迟推进</x:v>
      </x:c>
      <x:c r="B12" s="11" t="str">
        <x:v>自动选择，无独立开关</x:v>
      </x:c>
      <x:c r="C12" s="11" t="str">
        <x:v>适用商店GPU预测先检查当前店，只有还需后店且当前未淘汰才推进末尾13步。</x:v>
      </x:c>
      <x:c r="D12" s="11" t="str">
        <x:v>无需/不适用时沿原预测，不能错误提前淘汰无序任一命中。 自动选择，无独立玩家开关；继续到后店时必须保持完整店间28步随机推进。与第4机制有序位置下放不同。</x:v>
      </x:c>
    </x:row>
    <x:row r="13" ht="34.400001525878906" hidden="0" customHeight="1">
      <x:c r="A13" s="11" t="str">
        <x:v>9. 仅Boss身份需求的Exact按需输出</x:v>
      </x:c>
      <x:c r="B13" s="11" t="str">
        <x:v>自动选择，无独立开关</x:v>
      </x:c>
      <x:c r="C13" s="11" t="str">
        <x:v>普通单人Beta111搜索的世界事实仅含Boss身份时，省去未被查询的事件、遭遇、古人输出及逐步诊断；遗物初始化保持相同随机消费但不建临时洗牌数组。</x:v>
      </x:c>
      <x:c r="D13" s="11" t="str">
        <x:v>地图、Party、多人、更多世界条件、变牌聚合、单种分析、显式诊断/追踪等保留完整模式。 保留遭遇重试、古人身份抽取、A10第二Boss及其他域Exact；自动选择，无独立玩家开关。</x:v>
      </x:c>
    </x:row>
    <x:row r="14" ht="47.599998474121094" hidden="0" customHeight="1">
      <x:c r="A14" s="11" t="str">
        <x:v>10. 正式界面后台单消费者接收与主线程分批入库</x:v>
      </x:c>
      <x:c r="B14" s="11" t="str">
        <x:v>自动选择，无独立开关</x:v>
      </x:c>
      <x:c r="C14" s="11" t="str">
        <x:v>后台仅搬运不可变候选到有界缓冲，Godot/保存/显示由主线程负责，每批默认至多64并节流刷新。</x:v>
      </x:c>
      <x:c r="D14" s="11" t="str">
        <x:v>取消后继续接收已发布尾部；关闭页面由持久化层接管，保存失败保留所有权并重试。 无独立玩家开关。普通UI target在1至1000，接收缓冲容量等于target且会话总发布不超过target，因此不能归因于UI按帧排空导致该缓冲持续堵满。30/60FPS差异仍可能存在，但本次审计不证明单一根因。</x:v>
      </x:c>
    </x:row>
    <x:row r="15" ht="47.599998474121094" hidden="0" customHeight="1">
      <x:c r="A15" s="11" t="str">
        <x:v>11. CPU AVX2四路开局必要条件预筛</x:v>
      </x:c>
      <x:c r="B15" s="11" t="str">
        <x:v>CostOrderedFilters + PrefixCache</x:v>
      </x:c>
      <x:c r="C15" s="11" t="str">
        <x:v>CPU支持AVX2、单人Beta111连续CPU枚举、精确开局身份和池数据等门槛全部满足时，四根一起判断首诅咒必要条件；幸存者仍跑原匹配与Exact。</x:v>
      </x:c>
      <x:c r="D15" s="11" t="str">
        <x:v>关闭任一所需开关、无AVX2、Compact候选输入、不适用形状或不足四根尾部均回退标量。 不是四路完整Exact；不新增指令集安装包。无AVX2仍支持原标量。属于第4机制控制的独立实现，不能把两者收益相加。</x:v>
      </x:c>
    </x:row>
    <x:row r="16" ht="47.599998474121094" hidden="0" customHeight="1">
      <x:c r="A16" s="11" t="str">
        <x:v>12. 编译会话时准备战斗奖励固定池</x:v>
      </x:c>
      <x:c r="B16" s="11" t="str">
        <x:v>CostOrderedFilters</x:v>
      </x:c>
      <x:c r="C16" s="11" t="str">
        <x:v>适用单人Beta110/Beta111、需要普通战斗奖励、卡/药池精确时，编译会话阶段复制冻结池，复用排序/校验/指纹。</x:v>
      </x:c>
      <x:c r="D16" s="11" t="str">
        <x:v>关闭、多人、池未知/无效等沿原路径。 每种子RNG、开局路线、奖励生成和Exact仍执行；不是全局可变引用缓存。正式resource17尚不含最近尝试03的稀有度/类型排名索引。</x:v>
      </x:c>
    </x:row>
    <x:row r="17" ht="60.79999923706055" hidden="0" customHeight="1">
      <x:c r="A17" s="11" t="str">
        <x:v>13. 同候选cheap至reward阶段的开局Exact推演复用</x:v>
      </x:c>
      <x:c r="B17" s="11" t="str">
        <x:v>CostOrderedFilters</x:v>
      </x:c>
      <x:c r="C17" s="11" t="str">
        <x:v>单人Beta111、slot0、无Party/开局覆盖且需要普通战斗奖励时，在同一种子本次Exact两次同步调用之间传递已验证开局身份/效果证明。</x:v>
      </x:c>
      <x:c r="D17" s="11" t="str">
        <x:v>证明缺失、任何严格绑定不符或关闭时重新按原推演。 种子/根哈希、规则版本、权威快照、角色/进阶、槽位、预览/古人、诊断/复杂开关和兼容精度等必须匹配；只复用局部证明，不进计划/请求/全局缓存，不跨种子/候选。依赖捕获快照契约，不能声称只读接口本身等于深不可变；奖励/RNG/完整验证不省略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8" hidden="0" customWidth="1"/>
    <x:col min="2" max="2" width="13" hidden="0" customWidth="1"/>
    <x:col min="3" max="3" width="23" hidden="0" customWidth="1"/>
    <x:col min="4" max="4" width="8" hidden="0" customWidth="1"/>
    <x:col min="5" max="5" width="22" hidden="0" customWidth="1"/>
    <x:col min="6" max="6" width="17" hidden="0" customWidth="1"/>
    <x:col min="7" max="7" width="24" hidden="0" customWidth="1"/>
    <x:col min="8" max="8" width="13" hidden="0" customWidth="1"/>
    <x:col min="9" max="9" width="70" hidden="0" customWidth="1"/>
    <x:col min="10" max="10" width="19" hidden="0" customWidth="1"/>
    <x:col min="11" max="11" width="20" hidden="0" customWidth="1"/>
    <x:col min="12" max="12" width="14" hidden="0" customWidth="1"/>
    <x:col min="13" max="13" width="20" hidden="0" customWidth="1"/>
    <x:col min="14" max="14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3" t="str">
        <x:v>逐轮原始计时输入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来源：benchmarks/measurements.json。实际FPS未记录时留空；吞吐不由全会话候选数推算。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5" customHeight="1">
      <x:c r="A4" s="8" t="str">
        <x:v>套件ID</x:v>
      </x:c>
      <x:c r="B4" s="8" t="str">
        <x:v>场景ID</x:v>
      </x:c>
      <x:c r="C4" s="8" t="str">
        <x:v>版本/方式</x:v>
      </x:c>
      <x:c r="D4" s="8" t="str">
        <x:v>轮次</x:v>
      </x:c>
      <x:c r="E4" s="8" t="str">
        <x:v>完成种子数</x:v>
      </x:c>
      <x:c r="F4" s="8" t="str">
        <x:v>实际秒数</x:v>
      </x:c>
      <x:c r="G4" s="8" t="str">
        <x:v>种子/秒</x:v>
      </x:c>
      <x:c r="H4" s="8" t="str">
        <x:v>实测FPS</x:v>
      </x:c>
      <x:c r="I4" s="8" t="str">
        <x:v>实际执行路线</x:v>
      </x:c>
      <x:c r="J4" s="8" t="str">
        <x:v>预热种子数</x:v>
      </x:c>
      <x:c r="K4" s="8" t="str">
        <x:v>批次上限（0=原生）</x:v>
      </x:c>
      <x:c r="L4" s="8" t="str">
        <x:v>请求线程数</x:v>
      </x:c>
      <x:c r="M4" s="8" t="str">
        <x:v>起点种子</x:v>
      </x:c>
      <x:c r="N4" s="8" t="str">
        <x:v>源队列容量</x:v>
      </x:c>
    </x:row>
    <x:row r="5" ht="22" customHeight="1">
      <x:c r="A5" s="2" t="str">
        <x:v>resource15-full34-vs-upstream</x:v>
      </x:c>
      <x:c r="B5" s="2" t="str">
        <x:v>N01</x:v>
      </x:c>
      <x:c r="C5" s="2" t="str">
        <x:v>original</x:v>
      </x:c>
      <x:c r="D5" s="2" t="n">
        <x:v>1</x:v>
      </x:c>
      <x:c r="E5" s="9" t="n">
        <x:v>10502144</x:v>
      </x:c>
      <x:c r="F5" s="10" t="n">
        <x:v>10.0020943</x:v>
      </x:c>
      <x:c r="G5" s="10" t="n">
        <x:f>E5/F5</x:f>
        <x:v>1049994.499651938</x:v>
      </x:c>
      <x:c r="H5" s="10"/>
      <x:c r="I5" s="2" t="str">
        <x:v>N.Neow:GPU(Dense)</x:v>
      </x:c>
      <x:c r="J5" s="9" t="n">
        <x:v>8192</x:v>
      </x:c>
      <x:c r="K5" s="9" t="n">
        <x:v>8192</x:v>
      </x:c>
      <x:c r="L5" s="9" t="n">
        <x:v>32</x:v>
      </x:c>
      <x:c r="M5" s="2" t="str">
        <x:v>9KT7EQEZ0000</x:v>
      </x:c>
      <x:c r="N5" s="2" t="n">
        <x:v>4096</x:v>
      </x:c>
    </x:row>
    <x:row r="6" ht="22" customHeight="1">
      <x:c r="A6" s="2" t="str">
        <x:v>resource15-full34-vs-upstream</x:v>
      </x:c>
      <x:c r="B6" s="2" t="str">
        <x:v>N01</x:v>
      </x:c>
      <x:c r="C6" s="2" t="str">
        <x:v>optimized</x:v>
      </x:c>
      <x:c r="D6" s="2" t="n">
        <x:v>1</x:v>
      </x:c>
      <x:c r="E6" s="9" t="n">
        <x:v>16629760</x:v>
      </x:c>
      <x:c r="F6" s="10" t="n">
        <x:v>10.0027782</x:v>
      </x:c>
      <x:c r="G6" s="10" t="n">
        <x:f>E6/F6</x:f>
        <x:v>1662514.1203270908</x:v>
      </x:c>
      <x:c r="H6" s="10"/>
      <x:c r="I6" s="2" t="str">
        <x:v>N.Neow:GPU(Dense)</x:v>
      </x:c>
      <x:c r="J6" s="9" t="n">
        <x:v>8192</x:v>
      </x:c>
      <x:c r="K6" s="9" t="n">
        <x:v>8192</x:v>
      </x:c>
      <x:c r="L6" s="9" t="n">
        <x:v>32</x:v>
      </x:c>
      <x:c r="M6" s="2" t="str">
        <x:v>9KT7EQEZ0000</x:v>
      </x:c>
      <x:c r="N6" s="2" t="n">
        <x:v>4096</x:v>
      </x:c>
    </x:row>
    <x:row r="7" ht="22" customHeight="1">
      <x:c r="A7" s="2" t="str">
        <x:v>resource15-full34-vs-upstream</x:v>
      </x:c>
      <x:c r="B7" s="2" t="str">
        <x:v>N01</x:v>
      </x:c>
      <x:c r="C7" s="2" t="str">
        <x:v>original</x:v>
      </x:c>
      <x:c r="D7" s="2" t="n">
        <x:v>2</x:v>
      </x:c>
      <x:c r="E7" s="9" t="n">
        <x:v>10952704</x:v>
      </x:c>
      <x:c r="F7" s="10" t="n">
        <x:v>10.010565</x:v>
      </x:c>
      <x:c r="G7" s="10" t="n">
        <x:f>E7/F7</x:f>
        <x:v>1094114.46806449</x:v>
      </x:c>
      <x:c r="H7" s="10"/>
      <x:c r="I7" s="2" t="str">
        <x:v>N.Neow:GPU(Dense)</x:v>
      </x:c>
      <x:c r="J7" s="9" t="n">
        <x:v>8192</x:v>
      </x:c>
      <x:c r="K7" s="9" t="n">
        <x:v>8192</x:v>
      </x:c>
      <x:c r="L7" s="9" t="n">
        <x:v>32</x:v>
      </x:c>
      <x:c r="M7" s="2" t="str">
        <x:v>9KT7EQEZ0000</x:v>
      </x:c>
      <x:c r="N7" s="2" t="n">
        <x:v>4096</x:v>
      </x:c>
    </x:row>
    <x:row r="8" ht="22" customHeight="1">
      <x:c r="A8" s="2" t="str">
        <x:v>resource15-full34-vs-upstream</x:v>
      </x:c>
      <x:c r="B8" s="2" t="str">
        <x:v>N01</x:v>
      </x:c>
      <x:c r="C8" s="2" t="str">
        <x:v>optimized</x:v>
      </x:c>
      <x:c r="D8" s="2" t="n">
        <x:v>2</x:v>
      </x:c>
      <x:c r="E8" s="9" t="n">
        <x:v>14835712</x:v>
      </x:c>
      <x:c r="F8" s="10" t="n">
        <x:v>10.004106</x:v>
      </x:c>
      <x:c r="G8" s="10" t="n">
        <x:f>E8/F8</x:f>
        <x:v>1482962.2956813932</x:v>
      </x:c>
      <x:c r="H8" s="10"/>
      <x:c r="I8" s="2" t="str">
        <x:v>N.Neow:GPU(Dense)</x:v>
      </x:c>
      <x:c r="J8" s="9" t="n">
        <x:v>8192</x:v>
      </x:c>
      <x:c r="K8" s="9" t="n">
        <x:v>8192</x:v>
      </x:c>
      <x:c r="L8" s="9" t="n">
        <x:v>32</x:v>
      </x:c>
      <x:c r="M8" s="2" t="str">
        <x:v>9KT7EQEZ0000</x:v>
      </x:c>
      <x:c r="N8" s="2" t="n">
        <x:v>4096</x:v>
      </x:c>
    </x:row>
    <x:row r="9" ht="22" customHeight="1">
      <x:c r="A9" s="2" t="str">
        <x:v>resource15-full34-vs-upstream</x:v>
      </x:c>
      <x:c r="B9" s="2" t="str">
        <x:v>N02</x:v>
      </x:c>
      <x:c r="C9" s="2" t="str">
        <x:v>original</x:v>
      </x:c>
      <x:c r="D9" s="2" t="n">
        <x:v>1</x:v>
      </x:c>
      <x:c r="E9" s="9" t="n">
        <x:v>22740992</x:v>
      </x:c>
      <x:c r="F9" s="10" t="n">
        <x:v>10.0001799</x:v>
      </x:c>
      <x:c r="G9" s="10" t="n">
        <x:f>E9/F9</x:f>
        <x:v>2274058.2896913686</x:v>
      </x:c>
      <x:c r="H9" s="10"/>
      <x:c r="I9" s="2" t="str">
        <x:v>N.Neow:GPU(Dense)</x:v>
      </x:c>
      <x:c r="J9" s="9" t="n">
        <x:v>8192</x:v>
      </x:c>
      <x:c r="K9" s="9" t="n">
        <x:v>8192</x:v>
      </x:c>
      <x:c r="L9" s="9" t="n">
        <x:v>32</x:v>
      </x:c>
      <x:c r="M9" s="2" t="str">
        <x:v>9KT7EQEZ0000</x:v>
      </x:c>
      <x:c r="N9" s="2" t="n">
        <x:v>4096</x:v>
      </x:c>
    </x:row>
    <x:row r="10" ht="22" customHeight="1">
      <x:c r="A10" s="2" t="str">
        <x:v>resource15-full34-vs-upstream</x:v>
      </x:c>
      <x:c r="B10" s="2" t="str">
        <x:v>N02</x:v>
      </x:c>
      <x:c r="C10" s="2" t="str">
        <x:v>optimized</x:v>
      </x:c>
      <x:c r="D10" s="2" t="n">
        <x:v>1</x:v>
      </x:c>
      <x:c r="E10" s="9" t="n">
        <x:v>179625984</x:v>
      </x:c>
      <x:c r="F10" s="10" t="n">
        <x:v>10.0001477</x:v>
      </x:c>
      <x:c r="G10" s="10" t="n">
        <x:f>E10/F10</x:f>
        <x:v>17962333.09634017</x:v>
      </x:c>
      <x:c r="H10" s="10"/>
      <x:c r="I10" s="2" t="str">
        <x:v>N.Neow:GPU(Dense)</x:v>
      </x:c>
      <x:c r="J10" s="9" t="n">
        <x:v>8192</x:v>
      </x:c>
      <x:c r="K10" s="9" t="n">
        <x:v>8192</x:v>
      </x:c>
      <x:c r="L10" s="9" t="n">
        <x:v>32</x:v>
      </x:c>
      <x:c r="M10" s="2" t="str">
        <x:v>9KT7EQEZ0000</x:v>
      </x:c>
      <x:c r="N10" s="2" t="n">
        <x:v>4096</x:v>
      </x:c>
    </x:row>
    <x:row r="11" ht="22" customHeight="1">
      <x:c r="A11" s="2" t="str">
        <x:v>resource15-full34-vs-upstream</x:v>
      </x:c>
      <x:c r="B11" s="2" t="str">
        <x:v>N02</x:v>
      </x:c>
      <x:c r="C11" s="2" t="str">
        <x:v>original</x:v>
      </x:c>
      <x:c r="D11" s="2" t="n">
        <x:v>2</x:v>
      </x:c>
      <x:c r="E11" s="9" t="n">
        <x:v>22970368</x:v>
      </x:c>
      <x:c r="F11" s="10" t="n">
        <x:v>10.0008045</x:v>
      </x:c>
      <x:c r="G11" s="10" t="n">
        <x:f>E11/F11</x:f>
        <x:v>2296852.018255132</x:v>
      </x:c>
      <x:c r="H11" s="10"/>
      <x:c r="I11" s="2" t="str">
        <x:v>N.Neow:GPU(Dense)</x:v>
      </x:c>
      <x:c r="J11" s="9" t="n">
        <x:v>8192</x:v>
      </x:c>
      <x:c r="K11" s="9" t="n">
        <x:v>8192</x:v>
      </x:c>
      <x:c r="L11" s="9" t="n">
        <x:v>32</x:v>
      </x:c>
      <x:c r="M11" s="2" t="str">
        <x:v>9KT7EQEZ0000</x:v>
      </x:c>
      <x:c r="N11" s="2" t="n">
        <x:v>4096</x:v>
      </x:c>
    </x:row>
    <x:row r="12" ht="22" customHeight="1">
      <x:c r="A12" s="2" t="str">
        <x:v>resource15-full34-vs-upstream</x:v>
      </x:c>
      <x:c r="B12" s="2" t="str">
        <x:v>N02</x:v>
      </x:c>
      <x:c r="C12" s="2" t="str">
        <x:v>optimized</x:v>
      </x:c>
      <x:c r="D12" s="2" t="n">
        <x:v>2</x:v>
      </x:c>
      <x:c r="E12" s="9" t="n">
        <x:v>170082304</x:v>
      </x:c>
      <x:c r="F12" s="10" t="n">
        <x:v>10.003879</x:v>
      </x:c>
      <x:c r="G12" s="10" t="n">
        <x:f>E12/F12</x:f>
        <x:v>17001635.465602893</x:v>
      </x:c>
      <x:c r="H12" s="10"/>
      <x:c r="I12" s="2" t="str">
        <x:v>N.Neow:GPU(Dense)</x:v>
      </x:c>
      <x:c r="J12" s="9" t="n">
        <x:v>8192</x:v>
      </x:c>
      <x:c r="K12" s="9" t="n">
        <x:v>8192</x:v>
      </x:c>
      <x:c r="L12" s="9" t="n">
        <x:v>32</x:v>
      </x:c>
      <x:c r="M12" s="2" t="str">
        <x:v>9KT7EQEZ0000</x:v>
      </x:c>
      <x:c r="N12" s="2" t="n">
        <x:v>4096</x:v>
      </x:c>
    </x:row>
    <x:row r="13" ht="22" customHeight="1">
      <x:c r="A13" s="2" t="str">
        <x:v>resource15-full34-vs-upstream</x:v>
      </x:c>
      <x:c r="B13" s="2" t="str">
        <x:v>N03</x:v>
      </x:c>
      <x:c r="C13" s="2" t="str">
        <x:v>original</x:v>
      </x:c>
      <x:c r="D13" s="2" t="n">
        <x:v>1</x:v>
      </x:c>
      <x:c r="E13" s="9" t="n">
        <x:v>20054016</x:v>
      </x:c>
      <x:c r="F13" s="10" t="n">
        <x:v>10.0005002</x:v>
      </x:c>
      <x:c r="G13" s="10" t="n">
        <x:f>E13/F13</x:f>
        <x:v>2005301.2948292329</x:v>
      </x:c>
      <x:c r="H13" s="10"/>
      <x:c r="I13" s="2" t="str">
        <x:v>N.Neow:GPU(Dense)</x:v>
      </x:c>
      <x:c r="J13" s="9" t="n">
        <x:v>8192</x:v>
      </x:c>
      <x:c r="K13" s="9" t="n">
        <x:v>8192</x:v>
      </x:c>
      <x:c r="L13" s="9" t="n">
        <x:v>32</x:v>
      </x:c>
      <x:c r="M13" s="2" t="str">
        <x:v>9KT7EQEZ0000</x:v>
      </x:c>
      <x:c r="N13" s="2" t="n">
        <x:v>4096</x:v>
      </x:c>
    </x:row>
    <x:row r="14" ht="22" customHeight="1">
      <x:c r="A14" s="2" t="str">
        <x:v>resource15-full34-vs-upstream</x:v>
      </x:c>
      <x:c r="B14" s="2" t="str">
        <x:v>N03</x:v>
      </x:c>
      <x:c r="C14" s="2" t="str">
        <x:v>optimized</x:v>
      </x:c>
      <x:c r="D14" s="2" t="n">
        <x:v>1</x:v>
      </x:c>
      <x:c r="E14" s="9" t="n">
        <x:v>90406912</x:v>
      </x:c>
      <x:c r="F14" s="10" t="n">
        <x:v>10.0003265</x:v>
      </x:c>
      <x:c r="G14" s="10" t="n">
        <x:f>E14/F14</x:f>
        <x:v>9040396.031069586</x:v>
      </x:c>
      <x:c r="H14" s="10"/>
      <x:c r="I14" s="2" t="str">
        <x:v>N.Neow:GPU(Dense)</x:v>
      </x:c>
      <x:c r="J14" s="9" t="n">
        <x:v>8192</x:v>
      </x:c>
      <x:c r="K14" s="9" t="n">
        <x:v>8192</x:v>
      </x:c>
      <x:c r="L14" s="9" t="n">
        <x:v>32</x:v>
      </x:c>
      <x:c r="M14" s="2" t="str">
        <x:v>9KT7EQEZ0000</x:v>
      </x:c>
      <x:c r="N14" s="2" t="n">
        <x:v>4096</x:v>
      </x:c>
    </x:row>
    <x:row r="15" ht="22" customHeight="1">
      <x:c r="A15" s="2" t="str">
        <x:v>resource15-full34-vs-upstream</x:v>
      </x:c>
      <x:c r="B15" s="2" t="str">
        <x:v>N03</x:v>
      </x:c>
      <x:c r="C15" s="2" t="str">
        <x:v>original</x:v>
      </x:c>
      <x:c r="D15" s="2" t="n">
        <x:v>2</x:v>
      </x:c>
      <x:c r="E15" s="9" t="n">
        <x:v>21413888</x:v>
      </x:c>
      <x:c r="F15" s="10" t="n">
        <x:v>10.0000374</x:v>
      </x:c>
      <x:c r="G15" s="10" t="n">
        <x:f>E15/F15</x:f>
        <x:v>2141380.791235841</x:v>
      </x:c>
      <x:c r="H15" s="10"/>
      <x:c r="I15" s="2" t="str">
        <x:v>N.Neow:GPU(Dense)</x:v>
      </x:c>
      <x:c r="J15" s="9" t="n">
        <x:v>8192</x:v>
      </x:c>
      <x:c r="K15" s="9" t="n">
        <x:v>8192</x:v>
      </x:c>
      <x:c r="L15" s="9" t="n">
        <x:v>32</x:v>
      </x:c>
      <x:c r="M15" s="2" t="str">
        <x:v>9KT7EQEZ0000</x:v>
      </x:c>
      <x:c r="N15" s="2" t="n">
        <x:v>4096</x:v>
      </x:c>
    </x:row>
    <x:row r="16" ht="22" customHeight="1">
      <x:c r="A16" s="2" t="str">
        <x:v>resource15-full34-vs-upstream</x:v>
      </x:c>
      <x:c r="B16" s="2" t="str">
        <x:v>N03</x:v>
      </x:c>
      <x:c r="C16" s="2" t="str">
        <x:v>optimized</x:v>
      </x:c>
      <x:c r="D16" s="2" t="n">
        <x:v>2</x:v>
      </x:c>
      <x:c r="E16" s="9" t="n">
        <x:v>93151232</x:v>
      </x:c>
      <x:c r="F16" s="10" t="n">
        <x:v>10.0005928</x:v>
      </x:c>
      <x:c r="G16" s="10" t="n">
        <x:f>E16/F16</x:f>
        <x:v>9314571.03222921</x:v>
      </x:c>
      <x:c r="H16" s="10"/>
      <x:c r="I16" s="2" t="str">
        <x:v>N.Neow:GPU(Dense)</x:v>
      </x:c>
      <x:c r="J16" s="9" t="n">
        <x:v>8192</x:v>
      </x:c>
      <x:c r="K16" s="9" t="n">
        <x:v>8192</x:v>
      </x:c>
      <x:c r="L16" s="9" t="n">
        <x:v>32</x:v>
      </x:c>
      <x:c r="M16" s="2" t="str">
        <x:v>9KT7EQEZ0000</x:v>
      </x:c>
      <x:c r="N16" s="2" t="n">
        <x:v>4096</x:v>
      </x:c>
    </x:row>
    <x:row r="17" ht="22" customHeight="1">
      <x:c r="A17" s="2" t="str">
        <x:v>resource15-full34-vs-upstream</x:v>
      </x:c>
      <x:c r="B17" s="2" t="str">
        <x:v>N04</x:v>
      </x:c>
      <x:c r="C17" s="2" t="str">
        <x:v>original</x:v>
      </x:c>
      <x:c r="D17" s="2" t="n">
        <x:v>1</x:v>
      </x:c>
      <x:c r="E17" s="9" t="n">
        <x:v>78798848</x:v>
      </x:c>
      <x:c r="F17" s="10" t="n">
        <x:v>10.0029372</x:v>
      </x:c>
      <x:c r="G17" s="10" t="n">
        <x:f>E17/F17</x:f>
        <x:v>7877570.999845926</x:v>
      </x:c>
      <x:c r="H17" s="10"/>
      <x:c r="I17" s="2" t="str">
        <x:v>N.Neow:GPU(Dense)</x:v>
      </x:c>
      <x:c r="J17" s="9" t="n">
        <x:v>8192</x:v>
      </x:c>
      <x:c r="K17" s="9" t="n">
        <x:v>8192</x:v>
      </x:c>
      <x:c r="L17" s="9" t="n">
        <x:v>32</x:v>
      </x:c>
      <x:c r="M17" s="2" t="str">
        <x:v>9KT7EQEZ0000</x:v>
      </x:c>
      <x:c r="N17" s="2" t="n">
        <x:v>4096</x:v>
      </x:c>
    </x:row>
    <x:row r="18" ht="22" customHeight="1">
      <x:c r="A18" s="2" t="str">
        <x:v>resource15-full34-vs-upstream</x:v>
      </x:c>
      <x:c r="B18" s="2" t="str">
        <x:v>N04</x:v>
      </x:c>
      <x:c r="C18" s="2" t="str">
        <x:v>optimized</x:v>
      </x:c>
      <x:c r="D18" s="2" t="n">
        <x:v>1</x:v>
      </x:c>
      <x:c r="E18" s="9" t="n">
        <x:v>286867456</x:v>
      </x:c>
      <x:c r="F18" s="10" t="n">
        <x:v>10.000087</x:v>
      </x:c>
      <x:c r="G18" s="10" t="n">
        <x:f>E18/F18</x:f>
        <x:v>28686496.02748456</x:v>
      </x:c>
      <x:c r="H18" s="10"/>
      <x:c r="I18" s="2" t="str">
        <x:v>N.Neow:GPU(Dense)</x:v>
      </x:c>
      <x:c r="J18" s="9" t="n">
        <x:v>8192</x:v>
      </x:c>
      <x:c r="K18" s="9" t="n">
        <x:v>8192</x:v>
      </x:c>
      <x:c r="L18" s="9" t="n">
        <x:v>32</x:v>
      </x:c>
      <x:c r="M18" s="2" t="str">
        <x:v>9KT7EQEZ0000</x:v>
      </x:c>
      <x:c r="N18" s="2" t="n">
        <x:v>4096</x:v>
      </x:c>
    </x:row>
    <x:row r="19" ht="22" customHeight="1">
      <x:c r="A19" s="2" t="str">
        <x:v>resource15-full34-vs-upstream</x:v>
      </x:c>
      <x:c r="B19" s="2" t="str">
        <x:v>N04</x:v>
      </x:c>
      <x:c r="C19" s="2" t="str">
        <x:v>original</x:v>
      </x:c>
      <x:c r="D19" s="2" t="n">
        <x:v>2</x:v>
      </x:c>
      <x:c r="E19" s="9" t="n">
        <x:v>81010688</x:v>
      </x:c>
      <x:c r="F19" s="10" t="n">
        <x:v>10.0043883</x:v>
      </x:c>
      <x:c r="G19" s="10" t="n">
        <x:f>E19/F19</x:f>
        <x:v>8097515.367331354</x:v>
      </x:c>
      <x:c r="H19" s="10"/>
      <x:c r="I19" s="2" t="str">
        <x:v>N.Neow:GPU(Dense)</x:v>
      </x:c>
      <x:c r="J19" s="9" t="n">
        <x:v>8192</x:v>
      </x:c>
      <x:c r="K19" s="9" t="n">
        <x:v>8192</x:v>
      </x:c>
      <x:c r="L19" s="9" t="n">
        <x:v>32</x:v>
      </x:c>
      <x:c r="M19" s="2" t="str">
        <x:v>9KT7EQEZ0000</x:v>
      </x:c>
      <x:c r="N19" s="2" t="n">
        <x:v>4096</x:v>
      </x:c>
    </x:row>
    <x:row r="20" ht="22" customHeight="1">
      <x:c r="A20" s="2" t="str">
        <x:v>resource15-full34-vs-upstream</x:v>
      </x:c>
      <x:c r="B20" s="2" t="str">
        <x:v>N04</x:v>
      </x:c>
      <x:c r="C20" s="2" t="str">
        <x:v>optimized</x:v>
      </x:c>
      <x:c r="D20" s="2" t="n">
        <x:v>2</x:v>
      </x:c>
      <x:c r="E20" s="9" t="n">
        <x:v>286867456</x:v>
      </x:c>
      <x:c r="F20" s="10" t="n">
        <x:v>10.0004145</x:v>
      </x:c>
      <x:c r="G20" s="10" t="n">
        <x:f>E20/F20</x:f>
        <x:v>28685556.58367961</x:v>
      </x:c>
      <x:c r="H20" s="10"/>
      <x:c r="I20" s="2" t="str">
        <x:v>N.Neow:GPU(Dense)</x:v>
      </x:c>
      <x:c r="J20" s="9" t="n">
        <x:v>8192</x:v>
      </x:c>
      <x:c r="K20" s="9" t="n">
        <x:v>8192</x:v>
      </x:c>
      <x:c r="L20" s="9" t="n">
        <x:v>32</x:v>
      </x:c>
      <x:c r="M20" s="2" t="str">
        <x:v>9KT7EQEZ0000</x:v>
      </x:c>
      <x:c r="N20" s="2" t="n">
        <x:v>4096</x:v>
      </x:c>
    </x:row>
    <x:row r="21" ht="22" customHeight="1">
      <x:c r="A21" s="2" t="str">
        <x:v>resource15-full34-vs-upstream</x:v>
      </x:c>
      <x:c r="B21" s="2" t="str">
        <x:v>L01</x:v>
      </x:c>
      <x:c r="C21" s="2" t="str">
        <x:v>original</x:v>
      </x:c>
      <x:c r="D21" s="2" t="n">
        <x:v>1</x:v>
      </x:c>
      <x:c r="E21" s="9" t="n">
        <x:v>20553728</x:v>
      </x:c>
      <x:c r="F21" s="10" t="n">
        <x:v>10.0041102</x:v>
      </x:c>
      <x:c r="G21" s="10" t="n">
        <x:f>E21/F21</x:f>
        <x:v>2054528.3477585043</x:v>
      </x:c>
      <x:c r="H21" s="10"/>
      <x:c r="I21" s="2" t="str">
        <x:v>N.Neow:GPU(Dense)</x:v>
      </x:c>
      <x:c r="J21" s="9" t="n">
        <x:v>8192</x:v>
      </x:c>
      <x:c r="K21" s="9" t="n">
        <x:v>8192</x:v>
      </x:c>
      <x:c r="L21" s="9" t="n">
        <x:v>32</x:v>
      </x:c>
      <x:c r="M21" s="2" t="str">
        <x:v>9KT7EQEZ0000</x:v>
      </x:c>
      <x:c r="N21" s="2" t="n">
        <x:v>4096</x:v>
      </x:c>
    </x:row>
    <x:row r="22" ht="22" customHeight="1">
      <x:c r="A22" s="2" t="str">
        <x:v>resource15-full34-vs-upstream</x:v>
      </x:c>
      <x:c r="B22" s="2" t="str">
        <x:v>L01</x:v>
      </x:c>
      <x:c r="C22" s="2" t="str">
        <x:v>optimized</x:v>
      </x:c>
      <x:c r="D22" s="2" t="n">
        <x:v>1</x:v>
      </x:c>
      <x:c r="E22" s="9" t="n">
        <x:v>196534272</x:v>
      </x:c>
      <x:c r="F22" s="10" t="n">
        <x:v>10.0002768</x:v>
      </x:c>
      <x:c r="G22" s="10" t="n">
        <x:f>E22/F22</x:f>
        <x:v>19652883.208192796</x:v>
      </x:c>
      <x:c r="H22" s="10"/>
      <x:c r="I22" s="2" t="str">
        <x:v>N.Neow:GPU(Dense)</x:v>
      </x:c>
      <x:c r="J22" s="9" t="n">
        <x:v>8192</x:v>
      </x:c>
      <x:c r="K22" s="9" t="n">
        <x:v>8192</x:v>
      </x:c>
      <x:c r="L22" s="9" t="n">
        <x:v>32</x:v>
      </x:c>
      <x:c r="M22" s="2" t="str">
        <x:v>9KT7EQEZ0000</x:v>
      </x:c>
      <x:c r="N22" s="2" t="n">
        <x:v>4096</x:v>
      </x:c>
    </x:row>
    <x:row r="23" ht="22" customHeight="1">
      <x:c r="A23" s="2" t="str">
        <x:v>resource15-full34-vs-upstream</x:v>
      </x:c>
      <x:c r="B23" s="2" t="str">
        <x:v>L01</x:v>
      </x:c>
      <x:c r="C23" s="2" t="str">
        <x:v>original</x:v>
      </x:c>
      <x:c r="D23" s="2" t="n">
        <x:v>2</x:v>
      </x:c>
      <x:c r="E23" s="9" t="n">
        <x:v>22183936</x:v>
      </x:c>
      <x:c r="F23" s="10" t="n">
        <x:v>10.0001578</x:v>
      </x:c>
      <x:c r="G23" s="10" t="n">
        <x:f>E23/F23</x:f>
        <x:v>2218358.594301382</x:v>
      </x:c>
      <x:c r="H23" s="10"/>
      <x:c r="I23" s="2" t="str">
        <x:v>N.Neow:GPU(Dense)</x:v>
      </x:c>
      <x:c r="J23" s="9" t="n">
        <x:v>8192</x:v>
      </x:c>
      <x:c r="K23" s="9" t="n">
        <x:v>8192</x:v>
      </x:c>
      <x:c r="L23" s="9" t="n">
        <x:v>32</x:v>
      </x:c>
      <x:c r="M23" s="2" t="str">
        <x:v>9KT7EQEZ0000</x:v>
      </x:c>
      <x:c r="N23" s="2" t="n">
        <x:v>4096</x:v>
      </x:c>
    </x:row>
    <x:row r="24" ht="22" customHeight="1">
      <x:c r="A24" s="2" t="str">
        <x:v>resource15-full34-vs-upstream</x:v>
      </x:c>
      <x:c r="B24" s="2" t="str">
        <x:v>L01</x:v>
      </x:c>
      <x:c r="C24" s="2" t="str">
        <x:v>optimized</x:v>
      </x:c>
      <x:c r="D24" s="2" t="n">
        <x:v>2</x:v>
      </x:c>
      <x:c r="E24" s="9" t="n">
        <x:v>195518464</x:v>
      </x:c>
      <x:c r="F24" s="10" t="n">
        <x:v>10.0009643</x:v>
      </x:c>
      <x:c r="G24" s="10" t="n">
        <x:f>E24/F24</x:f>
        <x:v>19549961.19724175</x:v>
      </x:c>
      <x:c r="H24" s="10"/>
      <x:c r="I24" s="2" t="str">
        <x:v>N.Neow:GPU(Dense)</x:v>
      </x:c>
      <x:c r="J24" s="9" t="n">
        <x:v>8192</x:v>
      </x:c>
      <x:c r="K24" s="9" t="n">
        <x:v>8192</x:v>
      </x:c>
      <x:c r="L24" s="9" t="n">
        <x:v>32</x:v>
      </x:c>
      <x:c r="M24" s="2" t="str">
        <x:v>9KT7EQEZ0000</x:v>
      </x:c>
      <x:c r="N24" s="2" t="n">
        <x:v>4096</x:v>
      </x:c>
    </x:row>
    <x:row r="25" ht="22" customHeight="1">
      <x:c r="A25" s="2" t="str">
        <x:v>resource15-full34-vs-upstream</x:v>
      </x:c>
      <x:c r="B25" s="2" t="str">
        <x:v>L02</x:v>
      </x:c>
      <x:c r="C25" s="2" t="str">
        <x:v>original</x:v>
      </x:c>
      <x:c r="D25" s="2" t="n">
        <x:v>1</x:v>
      </x:c>
      <x:c r="E25" s="9" t="n">
        <x:v>77283328</x:v>
      </x:c>
      <x:c r="F25" s="10" t="n">
        <x:v>10.0000067</x:v>
      </x:c>
      <x:c r="G25" s="10" t="n">
        <x:f>E25/F25</x:f>
        <x:v>7728327.622020493</x:v>
      </x:c>
      <x:c r="H25" s="10"/>
      <x:c r="I25" s="2" t="str">
        <x:v>N.Neow:GPU(Dense)</x:v>
      </x:c>
      <x:c r="J25" s="9" t="n">
        <x:v>8192</x:v>
      </x:c>
      <x:c r="K25" s="9" t="n">
        <x:v>8192</x:v>
      </x:c>
      <x:c r="L25" s="9" t="n">
        <x:v>32</x:v>
      </x:c>
      <x:c r="M25" s="2" t="str">
        <x:v>9KT7EQEZ0000</x:v>
      </x:c>
      <x:c r="N25" s="2" t="n">
        <x:v>4096</x:v>
      </x:c>
    </x:row>
    <x:row r="26" ht="22" customHeight="1">
      <x:c r="A26" s="2" t="str">
        <x:v>resource15-full34-vs-upstream</x:v>
      </x:c>
      <x:c r="B26" s="2" t="str">
        <x:v>L02</x:v>
      </x:c>
      <x:c r="C26" s="2" t="str">
        <x:v>optimized</x:v>
      </x:c>
      <x:c r="D26" s="2" t="n">
        <x:v>1</x:v>
      </x:c>
      <x:c r="E26" s="9" t="n">
        <x:v>445956096</x:v>
      </x:c>
      <x:c r="F26" s="10" t="n">
        <x:v>10.0001065</x:v>
      </x:c>
      <x:c r="G26" s="10" t="n">
        <x:f>E26/F26</x:f>
        <x:v>44595134.66181585</x:v>
      </x:c>
      <x:c r="H26" s="10"/>
      <x:c r="I26" s="2" t="str">
        <x:v>N.Neow:GPU(Dense)</x:v>
      </x:c>
      <x:c r="J26" s="9" t="n">
        <x:v>8192</x:v>
      </x:c>
      <x:c r="K26" s="9" t="n">
        <x:v>8192</x:v>
      </x:c>
      <x:c r="L26" s="9" t="n">
        <x:v>32</x:v>
      </x:c>
      <x:c r="M26" s="2" t="str">
        <x:v>9KT7EQEZ0000</x:v>
      </x:c>
      <x:c r="N26" s="2" t="n">
        <x:v>4096</x:v>
      </x:c>
    </x:row>
    <x:row r="27" ht="22" customHeight="1">
      <x:c r="A27" s="2" t="str">
        <x:v>resource15-full34-vs-upstream</x:v>
      </x:c>
      <x:c r="B27" s="2" t="str">
        <x:v>L02</x:v>
      </x:c>
      <x:c r="C27" s="2" t="str">
        <x:v>original</x:v>
      </x:c>
      <x:c r="D27" s="2" t="n">
        <x:v>2</x:v>
      </x:c>
      <x:c r="E27" s="9" t="n">
        <x:v>80412672</x:v>
      </x:c>
      <x:c r="F27" s="10" t="n">
        <x:v>10.0033365</x:v>
      </x:c>
      <x:c r="G27" s="10" t="n">
        <x:f>E27/F27</x:f>
        <x:v>8038585.126072686</x:v>
      </x:c>
      <x:c r="H27" s="10"/>
      <x:c r="I27" s="2" t="str">
        <x:v>N.Neow:GPU(Dense)</x:v>
      </x:c>
      <x:c r="J27" s="9" t="n">
        <x:v>8192</x:v>
      </x:c>
      <x:c r="K27" s="9" t="n">
        <x:v>8192</x:v>
      </x:c>
      <x:c r="L27" s="9" t="n">
        <x:v>32</x:v>
      </x:c>
      <x:c r="M27" s="2" t="str">
        <x:v>9KT7EQEZ0000</x:v>
      </x:c>
      <x:c r="N27" s="2" t="n">
        <x:v>4096</x:v>
      </x:c>
    </x:row>
    <x:row r="28" ht="22" customHeight="1">
      <x:c r="A28" s="2" t="str">
        <x:v>resource15-full34-vs-upstream</x:v>
      </x:c>
      <x:c r="B28" s="2" t="str">
        <x:v>L02</x:v>
      </x:c>
      <x:c r="C28" s="2" t="str">
        <x:v>optimized</x:v>
      </x:c>
      <x:c r="D28" s="2" t="n">
        <x:v>2</x:v>
      </x:c>
      <x:c r="E28" s="9" t="n">
        <x:v>492707840</x:v>
      </x:c>
      <x:c r="F28" s="10" t="n">
        <x:v>10.0003521</x:v>
      </x:c>
      <x:c r="G28" s="10" t="n">
        <x:f>E28/F28</x:f>
        <x:v>49269049.23677637</x:v>
      </x:c>
      <x:c r="H28" s="10"/>
      <x:c r="I28" s="2" t="str">
        <x:v>N.Neow:GPU(Dense)</x:v>
      </x:c>
      <x:c r="J28" s="9" t="n">
        <x:v>8192</x:v>
      </x:c>
      <x:c r="K28" s="9" t="n">
        <x:v>8192</x:v>
      </x:c>
      <x:c r="L28" s="9" t="n">
        <x:v>32</x:v>
      </x:c>
      <x:c r="M28" s="2" t="str">
        <x:v>9KT7EQEZ0000</x:v>
      </x:c>
      <x:c r="N28" s="2" t="n">
        <x:v>4096</x:v>
      </x:c>
    </x:row>
    <x:row r="29" ht="22" customHeight="1">
      <x:c r="A29" s="2" t="str">
        <x:v>resource15-full34-vs-upstream</x:v>
      </x:c>
      <x:c r="B29" s="2" t="str">
        <x:v>U01</x:v>
      </x:c>
      <x:c r="C29" s="2" t="str">
        <x:v>original</x:v>
      </x:c>
      <x:c r="D29" s="2" t="n">
        <x:v>1</x:v>
      </x:c>
      <x:c r="E29" s="9" t="n">
        <x:v>160893501440</x:v>
      </x:c>
      <x:c r="F29" s="10" t="n">
        <x:v>10.0006656</x:v>
      </x:c>
      <x:c r="G29" s="10" t="n">
        <x:f>E29/F29</x:f>
        <x:v>16088279308.129251</x:v>
      </x:c>
      <x:c r="H29" s="10"/>
      <x:c r="I29" s="2" t="str">
        <x:v>N.Neow:GPU(Dense)</x:v>
      </x:c>
      <x:c r="J29" s="9" t="n">
        <x:v>67108864</x:v>
      </x:c>
      <x:c r="K29" s="9" t="n">
        <x:v>0</x:v>
      </x:c>
      <x:c r="L29" s="9" t="n">
        <x:v>32</x:v>
      </x:c>
      <x:c r="M29" s="2" t="str">
        <x:v>9KT7EQEZ0000</x:v>
      </x:c>
      <x:c r="N29" s="2" t="n">
        <x:v>4096</x:v>
      </x:c>
    </x:row>
    <x:row r="30" ht="22" customHeight="1">
      <x:c r="A30" s="2" t="str">
        <x:v>resource15-full34-vs-upstream</x:v>
      </x:c>
      <x:c r="B30" s="2" t="str">
        <x:v>U01</x:v>
      </x:c>
      <x:c r="C30" s="2" t="str">
        <x:v>optimized</x:v>
      </x:c>
      <x:c r="D30" s="2" t="n">
        <x:v>1</x:v>
      </x:c>
      <x:c r="E30" s="9" t="n">
        <x:v>358965313536</x:v>
      </x:c>
      <x:c r="F30" s="10" t="n">
        <x:v>10.000036</x:v>
      </x:c>
      <x:c r="G30" s="10" t="n">
        <x:f>E30/F30</x:f>
        <x:v>35896402126.552345</x:v>
      </x:c>
      <x:c r="H30" s="10"/>
      <x:c r="I30" s="2" t="str">
        <x:v>N.Neow:GPU(Dense)</x:v>
      </x:c>
      <x:c r="J30" s="9" t="n">
        <x:v>67108864</x:v>
      </x:c>
      <x:c r="K30" s="9" t="n">
        <x:v>0</x:v>
      </x:c>
      <x:c r="L30" s="9" t="n">
        <x:v>32</x:v>
      </x:c>
      <x:c r="M30" s="2" t="str">
        <x:v>9KT7EQEZ0000</x:v>
      </x:c>
      <x:c r="N30" s="2" t="n">
        <x:v>4096</x:v>
      </x:c>
    </x:row>
    <x:row r="31" ht="22" customHeight="1">
      <x:c r="A31" s="2" t="str">
        <x:v>resource15-full34-vs-upstream</x:v>
      </x:c>
      <x:c r="B31" s="2" t="str">
        <x:v>U01</x:v>
      </x:c>
      <x:c r="C31" s="2" t="str">
        <x:v>original</x:v>
      </x:c>
      <x:c r="D31" s="2" t="n">
        <x:v>2</x:v>
      </x:c>
      <x:c r="E31" s="9" t="n">
        <x:v>154904035328</x:v>
      </x:c>
      <x:c r="F31" s="10" t="n">
        <x:v>10.0005464</x:v>
      </x:c>
      <x:c r="G31" s="10" t="n">
        <x:f>E31/F31</x:f>
        <x:v>15489557183.3955</x:v>
      </x:c>
      <x:c r="H31" s="10"/>
      <x:c r="I31" s="2" t="str">
        <x:v>N.Neow:GPU(Dense)</x:v>
      </x:c>
      <x:c r="J31" s="9" t="n">
        <x:v>67108864</x:v>
      </x:c>
      <x:c r="K31" s="9" t="n">
        <x:v>0</x:v>
      </x:c>
      <x:c r="L31" s="9" t="n">
        <x:v>32</x:v>
      </x:c>
      <x:c r="M31" s="2" t="str">
        <x:v>9KT7EQEZ0000</x:v>
      </x:c>
      <x:c r="N31" s="2" t="n">
        <x:v>4096</x:v>
      </x:c>
    </x:row>
    <x:row r="32" ht="22" customHeight="1">
      <x:c r="A32" s="2" t="str">
        <x:v>resource15-full34-vs-upstream</x:v>
      </x:c>
      <x:c r="B32" s="2" t="str">
        <x:v>U01</x:v>
      </x:c>
      <x:c r="C32" s="2" t="str">
        <x:v>optimized</x:v>
      </x:c>
      <x:c r="D32" s="2" t="n">
        <x:v>2</x:v>
      </x:c>
      <x:c r="E32" s="9" t="n">
        <x:v>353563049984</x:v>
      </x:c>
      <x:c r="F32" s="10" t="n">
        <x:v>10.0007949</x:v>
      </x:c>
      <x:c r="G32" s="10" t="n">
        <x:f>E32/F32</x:f>
        <x:v>35353494749.102394</x:v>
      </x:c>
      <x:c r="H32" s="10"/>
      <x:c r="I32" s="2" t="str">
        <x:v>N.Neow:GPU(Dense)</x:v>
      </x:c>
      <x:c r="J32" s="9" t="n">
        <x:v>67108864</x:v>
      </x:c>
      <x:c r="K32" s="9" t="n">
        <x:v>0</x:v>
      </x:c>
      <x:c r="L32" s="9" t="n">
        <x:v>32</x:v>
      </x:c>
      <x:c r="M32" s="2" t="str">
        <x:v>9KT7EQEZ0000</x:v>
      </x:c>
      <x:c r="N32" s="2" t="n">
        <x:v>4096</x:v>
      </x:c>
    </x:row>
    <x:row r="33" ht="22" customHeight="1">
      <x:c r="A33" s="2" t="str">
        <x:v>resource15-full34-vs-upstream</x:v>
      </x:c>
      <x:c r="B33" s="2" t="str">
        <x:v>U02</x:v>
      </x:c>
      <x:c r="C33" s="2" t="str">
        <x:v>original</x:v>
      </x:c>
      <x:c r="D33" s="2" t="n">
        <x:v>1</x:v>
      </x:c>
      <x:c r="E33" s="9" t="n">
        <x:v>159719096320</x:v>
      </x:c>
      <x:c r="F33" s="10" t="n">
        <x:v>10.000455</x:v>
      </x:c>
      <x:c r="G33" s="10" t="n">
        <x:f>E33/F33</x:f>
        <x:v>15971182943.176085</x:v>
      </x:c>
      <x:c r="H33" s="10"/>
      <x:c r="I33" s="2" t="str">
        <x:v>N.Neow:GPU(Dense)</x:v>
      </x:c>
      <x:c r="J33" s="9" t="n">
        <x:v>67108864</x:v>
      </x:c>
      <x:c r="K33" s="9" t="n">
        <x:v>0</x:v>
      </x:c>
      <x:c r="L33" s="9" t="n">
        <x:v>32</x:v>
      </x:c>
      <x:c r="M33" s="2" t="str">
        <x:v>9KT7EQEZ0000</x:v>
      </x:c>
      <x:c r="N33" s="2" t="n">
        <x:v>4096</x:v>
      </x:c>
    </x:row>
    <x:row r="34" ht="22" customHeight="1">
      <x:c r="A34" s="2" t="str">
        <x:v>resource15-full34-vs-upstream</x:v>
      </x:c>
      <x:c r="B34" s="2" t="str">
        <x:v>U02</x:v>
      </x:c>
      <x:c r="C34" s="2" t="str">
        <x:v>optimized</x:v>
      </x:c>
      <x:c r="D34" s="2" t="n">
        <x:v>1</x:v>
      </x:c>
      <x:c r="E34" s="9" t="n">
        <x:v>293567725568</x:v>
      </x:c>
      <x:c r="F34" s="10" t="n">
        <x:v>10.0002243</x:v>
      </x:c>
      <x:c r="G34" s="10" t="n">
        <x:f>E34/F34</x:f>
        <x:v>29356114099.16076</x:v>
      </x:c>
      <x:c r="H34" s="10"/>
      <x:c r="I34" s="2" t="str">
        <x:v>N.Neow:GPU(Dense)</x:v>
      </x:c>
      <x:c r="J34" s="9" t="n">
        <x:v>67108864</x:v>
      </x:c>
      <x:c r="K34" s="9" t="n">
        <x:v>0</x:v>
      </x:c>
      <x:c r="L34" s="9" t="n">
        <x:v>32</x:v>
      </x:c>
      <x:c r="M34" s="2" t="str">
        <x:v>9KT7EQEZ0000</x:v>
      </x:c>
      <x:c r="N34" s="2" t="n">
        <x:v>4096</x:v>
      </x:c>
    </x:row>
    <x:row r="35" ht="22" customHeight="1">
      <x:c r="A35" s="2" t="str">
        <x:v>resource15-full34-vs-upstream</x:v>
      </x:c>
      <x:c r="B35" s="2" t="str">
        <x:v>U02</x:v>
      </x:c>
      <x:c r="C35" s="2" t="str">
        <x:v>original</x:v>
      </x:c>
      <x:c r="D35" s="2" t="n">
        <x:v>2</x:v>
      </x:c>
      <x:c r="E35" s="9" t="n">
        <x:v>151884136448</x:v>
      </x:c>
      <x:c r="F35" s="10" t="n">
        <x:v>10.0002992</x:v>
      </x:c>
      <x:c r="G35" s="10" t="n">
        <x:f>E35/F35</x:f>
        <x:v>15187959221.060104</x:v>
      </x:c>
      <x:c r="H35" s="10"/>
      <x:c r="I35" s="2" t="str">
        <x:v>N.Neow:GPU(Dense)</x:v>
      </x:c>
      <x:c r="J35" s="9" t="n">
        <x:v>67108864</x:v>
      </x:c>
      <x:c r="K35" s="9" t="n">
        <x:v>0</x:v>
      </x:c>
      <x:c r="L35" s="9" t="n">
        <x:v>32</x:v>
      </x:c>
      <x:c r="M35" s="2" t="str">
        <x:v>9KT7EQEZ0000</x:v>
      </x:c>
      <x:c r="N35" s="2" t="n">
        <x:v>4096</x:v>
      </x:c>
    </x:row>
    <x:row r="36" ht="22" customHeight="1">
      <x:c r="A36" s="2" t="str">
        <x:v>resource15-full34-vs-upstream</x:v>
      </x:c>
      <x:c r="B36" s="2" t="str">
        <x:v>U02</x:v>
      </x:c>
      <x:c r="C36" s="2" t="str">
        <x:v>optimized</x:v>
      </x:c>
      <x:c r="D36" s="2" t="n">
        <x:v>2</x:v>
      </x:c>
      <x:c r="E36" s="9" t="n">
        <x:v>298684776448</x:v>
      </x:c>
      <x:c r="F36" s="10" t="n">
        <x:v>10.000451</x:v>
      </x:c>
      <x:c r="G36" s="10" t="n">
        <x:f>E36/F36</x:f>
        <x:v>29867130637.208263</x:v>
      </x:c>
      <x:c r="H36" s="10"/>
      <x:c r="I36" s="2" t="str">
        <x:v>N.Neow:GPU(Dense)</x:v>
      </x:c>
      <x:c r="J36" s="9" t="n">
        <x:v>67108864</x:v>
      </x:c>
      <x:c r="K36" s="9" t="n">
        <x:v>0</x:v>
      </x:c>
      <x:c r="L36" s="9" t="n">
        <x:v>32</x:v>
      </x:c>
      <x:c r="M36" s="2" t="str">
        <x:v>9KT7EQEZ0000</x:v>
      </x:c>
      <x:c r="N36" s="2" t="n">
        <x:v>4096</x:v>
      </x:c>
    </x:row>
    <x:row r="37" ht="22" customHeight="1">
      <x:c r="A37" s="2" t="str">
        <x:v>resource15-full34-vs-upstream</x:v>
      </x:c>
      <x:c r="B37" s="2" t="str">
        <x:v>U03</x:v>
      </x:c>
      <x:c r="C37" s="2" t="str">
        <x:v>original</x:v>
      </x:c>
      <x:c r="D37" s="2" t="n">
        <x:v>1</x:v>
      </x:c>
      <x:c r="E37" s="9" t="n">
        <x:v>133311758336</x:v>
      </x:c>
      <x:c r="F37" s="10" t="n">
        <x:v>10.001097</x:v>
      </x:c>
      <x:c r="G37" s="10" t="n">
        <x:f>E37/F37</x:f>
        <x:v>13329713564.022028</x:v>
      </x:c>
      <x:c r="H37" s="10"/>
      <x:c r="I37" s="2" t="str">
        <x:v>N.Neow:GPU(Dense) → R.Relic:CPU(CompactAbi1) → C.CombatReward:GPU(CompactAbi1)</x:v>
      </x:c>
      <x:c r="J37" s="9" t="n">
        <x:v>67108864</x:v>
      </x:c>
      <x:c r="K37" s="9" t="n">
        <x:v>0</x:v>
      </x:c>
      <x:c r="L37" s="9" t="n">
        <x:v>32</x:v>
      </x:c>
      <x:c r="M37" s="2" t="str">
        <x:v>9KT7EQEZ0000</x:v>
      </x:c>
      <x:c r="N37" s="2" t="n">
        <x:v>4096</x:v>
      </x:c>
    </x:row>
    <x:row r="38" ht="22" customHeight="1">
      <x:c r="A38" s="2" t="str">
        <x:v>resource15-full34-vs-upstream</x:v>
      </x:c>
      <x:c r="B38" s="2" t="str">
        <x:v>U03</x:v>
      </x:c>
      <x:c r="C38" s="2" t="str">
        <x:v>optimized</x:v>
      </x:c>
      <x:c r="D38" s="2" t="n">
        <x:v>1</x:v>
      </x:c>
      <x:c r="E38" s="9" t="n">
        <x:v>233287188480</x:v>
      </x:c>
      <x:c r="F38" s="10" t="n">
        <x:v>10.0002846</x:v>
      </x:c>
      <x:c r="G38" s="10" t="n">
        <x:f>E38/F38</x:f>
        <x:v>23328054931.55665</x:v>
      </x:c>
      <x:c r="H38" s="10"/>
      <x:c r="I38" s="2" t="str">
        <x:v>N.Neow:GPU(Dense) → R.Relic:CPU(CompactAbi1) → C.CombatReward:GPU(CompactAbi1)</x:v>
      </x:c>
      <x:c r="J38" s="9" t="n">
        <x:v>67108864</x:v>
      </x:c>
      <x:c r="K38" s="9" t="n">
        <x:v>0</x:v>
      </x:c>
      <x:c r="L38" s="9" t="n">
        <x:v>32</x:v>
      </x:c>
      <x:c r="M38" s="2" t="str">
        <x:v>9KT7EQEZ0000</x:v>
      </x:c>
      <x:c r="N38" s="2" t="n">
        <x:v>4096</x:v>
      </x:c>
    </x:row>
    <x:row r="39" ht="22" customHeight="1">
      <x:c r="A39" s="2" t="str">
        <x:v>resource15-full34-vs-upstream</x:v>
      </x:c>
      <x:c r="B39" s="2" t="str">
        <x:v>U03</x:v>
      </x:c>
      <x:c r="C39" s="2" t="str">
        <x:v>original</x:v>
      </x:c>
      <x:c r="D39" s="2" t="n">
        <x:v>2</x:v>
      </x:c>
      <x:c r="E39" s="9" t="n">
        <x:v>130375745536</x:v>
      </x:c>
      <x:c r="F39" s="10" t="n">
        <x:v>10.0011733</x:v>
      </x:c>
      <x:c r="G39" s="10" t="n">
        <x:f>E39/F39</x:f>
        <x:v>13036045034.43611</x:v>
      </x:c>
      <x:c r="H39" s="10"/>
      <x:c r="I39" s="2" t="str">
        <x:v>N.Neow:GPU(Dense) → R.Relic:CPU(CompactAbi1) → C.CombatReward:GPU(CompactAbi1)</x:v>
      </x:c>
      <x:c r="J39" s="9" t="n">
        <x:v>67108864</x:v>
      </x:c>
      <x:c r="K39" s="9" t="n">
        <x:v>0</x:v>
      </x:c>
      <x:c r="L39" s="9" t="n">
        <x:v>32</x:v>
      </x:c>
      <x:c r="M39" s="2" t="str">
        <x:v>9KT7EQEZ0000</x:v>
      </x:c>
      <x:c r="N39" s="2" t="n">
        <x:v>4096</x:v>
      </x:c>
    </x:row>
    <x:row r="40" ht="22" customHeight="1">
      <x:c r="A40" s="2" t="str">
        <x:v>resource15-full34-vs-upstream</x:v>
      </x:c>
      <x:c r="B40" s="2" t="str">
        <x:v>U03</x:v>
      </x:c>
      <x:c r="C40" s="2" t="str">
        <x:v>optimized</x:v>
      </x:c>
      <x:c r="D40" s="2" t="n">
        <x:v>2</x:v>
      </x:c>
      <x:c r="E40" s="9" t="n">
        <x:v>230384730112</x:v>
      </x:c>
      <x:c r="F40" s="10" t="n">
        <x:v>10.0009872</x:v>
      </x:c>
      <x:c r="G40" s="10" t="n">
        <x:f>E40/F40</x:f>
        <x:v>23036198877.646797</x:v>
      </x:c>
      <x:c r="H40" s="10"/>
      <x:c r="I40" s="2" t="str">
        <x:v>N.Neow:GPU(Dense) → R.Relic:CPU(CompactAbi1) → C.CombatReward:GPU(CompactAbi1)</x:v>
      </x:c>
      <x:c r="J40" s="9" t="n">
        <x:v>67108864</x:v>
      </x:c>
      <x:c r="K40" s="9" t="n">
        <x:v>0</x:v>
      </x:c>
      <x:c r="L40" s="9" t="n">
        <x:v>32</x:v>
      </x:c>
      <x:c r="M40" s="2" t="str">
        <x:v>9KT7EQEZ0000</x:v>
      </x:c>
      <x:c r="N40" s="2" t="n">
        <x:v>4096</x:v>
      </x:c>
    </x:row>
    <x:row r="41" ht="22" customHeight="1">
      <x:c r="A41" s="2" t="str">
        <x:v>resource15-full34-vs-upstream</x:v>
      </x:c>
      <x:c r="B41" s="2" t="str">
        <x:v>X03</x:v>
      </x:c>
      <x:c r="C41" s="2" t="str">
        <x:v>original</x:v>
      </x:c>
      <x:c r="D41" s="2" t="n">
        <x:v>1</x:v>
      </x:c>
      <x:c r="E41" s="9" t="n">
        <x:v>132053467136</x:v>
      </x:c>
      <x:c r="F41" s="10" t="n">
        <x:v>10.0010064</x:v>
      </x:c>
      <x:c r="G41" s="10" t="n">
        <x:f>E41/F41</x:f>
        <x:v>13204017861.242445</x:v>
      </x:c>
      <x:c r="H41" s="10"/>
      <x:c r="I41" s="2" t="str">
        <x:v>N.Neow:GPU(Dense) → R.Relic:CPU(CompactAbi1)</x:v>
      </x:c>
      <x:c r="J41" s="9" t="n">
        <x:v>33554432</x:v>
      </x:c>
      <x:c r="K41" s="9" t="n">
        <x:v>0</x:v>
      </x:c>
      <x:c r="L41" s="9" t="n">
        <x:v>32</x:v>
      </x:c>
      <x:c r="M41" s="2" t="str">
        <x:v>9KT7EQEZ0000</x:v>
      </x:c>
      <x:c r="N41" s="2" t="n">
        <x:v>4096</x:v>
      </x:c>
    </x:row>
    <x:row r="42" ht="22" customHeight="1">
      <x:c r="A42" s="2" t="str">
        <x:v>resource15-full34-vs-upstream</x:v>
      </x:c>
      <x:c r="B42" s="2" t="str">
        <x:v>X03</x:v>
      </x:c>
      <x:c r="C42" s="2" t="str">
        <x:v>optimized</x:v>
      </x:c>
      <x:c r="D42" s="2" t="n">
        <x:v>1</x:v>
      </x:c>
      <x:c r="E42" s="9" t="n">
        <x:v>233773727744</x:v>
      </x:c>
      <x:c r="F42" s="10" t="n">
        <x:v>10.0006474</x:v>
      </x:c>
      <x:c r="G42" s="10" t="n">
        <x:f>E42/F42</x:f>
        <x:v>23375859421.261066</x:v>
      </x:c>
      <x:c r="H42" s="10"/>
      <x:c r="I42" s="2" t="str">
        <x:v>N.Neow:GPU(Dense) → R.Relic:CPU(CompactAbi1)</x:v>
      </x:c>
      <x:c r="J42" s="9" t="n">
        <x:v>33554432</x:v>
      </x:c>
      <x:c r="K42" s="9" t="n">
        <x:v>0</x:v>
      </x:c>
      <x:c r="L42" s="9" t="n">
        <x:v>32</x:v>
      </x:c>
      <x:c r="M42" s="2" t="str">
        <x:v>9KT7EQEZ0000</x:v>
      </x:c>
      <x:c r="N42" s="2" t="n">
        <x:v>4096</x:v>
      </x:c>
    </x:row>
    <x:row r="43" ht="22" customHeight="1">
      <x:c r="A43" s="2" t="str">
        <x:v>resource15-full34-vs-upstream</x:v>
      </x:c>
      <x:c r="B43" s="2" t="str">
        <x:v>X03</x:v>
      </x:c>
      <x:c r="C43" s="2" t="str">
        <x:v>original</x:v>
      </x:c>
      <x:c r="D43" s="2" t="n">
        <x:v>2</x:v>
      </x:c>
      <x:c r="E43" s="9" t="n">
        <x:v>135325024256</x:v>
      </x:c>
      <x:c r="F43" s="10" t="n">
        <x:v>10.0001649</x:v>
      </x:c>
      <x:c r="G43" s="10" t="n">
        <x:f>E43/F43</x:f>
        <x:v>13532279278.314701</x:v>
      </x:c>
      <x:c r="H43" s="10"/>
      <x:c r="I43" s="2" t="str">
        <x:v>N.Neow:GPU(Dense) → R.Relic:CPU(CompactAbi1)</x:v>
      </x:c>
      <x:c r="J43" s="9" t="n">
        <x:v>33554432</x:v>
      </x:c>
      <x:c r="K43" s="9" t="n">
        <x:v>0</x:v>
      </x:c>
      <x:c r="L43" s="9" t="n">
        <x:v>32</x:v>
      </x:c>
      <x:c r="M43" s="2" t="str">
        <x:v>9KT7EQEZ0000</x:v>
      </x:c>
      <x:c r="N43" s="2" t="n">
        <x:v>4096</x:v>
      </x:c>
    </x:row>
    <x:row r="44" ht="22" customHeight="1">
      <x:c r="A44" s="2" t="str">
        <x:v>resource15-full34-vs-upstream</x:v>
      </x:c>
      <x:c r="B44" s="2" t="str">
        <x:v>X03</x:v>
      </x:c>
      <x:c r="C44" s="2" t="str">
        <x:v>optimized</x:v>
      </x:c>
      <x:c r="D44" s="2" t="n">
        <x:v>2</x:v>
      </x:c>
      <x:c r="E44" s="9" t="n">
        <x:v>223120195584</x:v>
      </x:c>
      <x:c r="F44" s="10" t="n">
        <x:v>10.0000373</x:v>
      </x:c>
      <x:c r="G44" s="10" t="n">
        <x:f>E44/F44</x:f>
        <x:v>22311936334.87747</x:v>
      </x:c>
      <x:c r="H44" s="10"/>
      <x:c r="I44" s="2" t="str">
        <x:v>N.Neow:GPU(Dense) → R.Relic:CPU(CompactAbi1)</x:v>
      </x:c>
      <x:c r="J44" s="9" t="n">
        <x:v>33554432</x:v>
      </x:c>
      <x:c r="K44" s="9" t="n">
        <x:v>0</x:v>
      </x:c>
      <x:c r="L44" s="9" t="n">
        <x:v>32</x:v>
      </x:c>
      <x:c r="M44" s="2" t="str">
        <x:v>9KT7EQEZ0000</x:v>
      </x:c>
      <x:c r="N44" s="2" t="n">
        <x:v>4096</x:v>
      </x:c>
    </x:row>
    <x:row r="45" ht="22" customHeight="1">
      <x:c r="A45" s="2" t="str">
        <x:v>resource15-full34-vs-upstream</x:v>
      </x:c>
      <x:c r="B45" s="2" t="str">
        <x:v>F01</x:v>
      </x:c>
      <x:c r="C45" s="2" t="str">
        <x:v>original</x:v>
      </x:c>
      <x:c r="D45" s="2" t="n">
        <x:v>1</x:v>
      </x:c>
      <x:c r="E45" s="9" t="n">
        <x:v>8257536</x:v>
      </x:c>
      <x:c r="F45" s="10" t="n">
        <x:v>10.0015394</x:v>
      </x:c>
      <x:c r="G45" s="10" t="n">
        <x:f>E45/F45</x:f>
        <x:v>825626.5030561195</x:v>
      </x:c>
      <x:c r="H45" s="10"/>
      <x:c r="I45" s="2" t="str">
        <x:v>R.Relic:GPU(Dense)</x:v>
      </x:c>
      <x:c r="J45" s="9" t="n">
        <x:v>8192</x:v>
      </x:c>
      <x:c r="K45" s="9" t="n">
        <x:v>8192</x:v>
      </x:c>
      <x:c r="L45" s="9" t="n">
        <x:v>32</x:v>
      </x:c>
      <x:c r="M45" s="2" t="str">
        <x:v>9KT7EQEZ0000</x:v>
      </x:c>
      <x:c r="N45" s="2" t="n">
        <x:v>4096</x:v>
      </x:c>
    </x:row>
    <x:row r="46" ht="22" customHeight="1">
      <x:c r="A46" s="2" t="str">
        <x:v>resource15-full34-vs-upstream</x:v>
      </x:c>
      <x:c r="B46" s="2" t="str">
        <x:v>F01</x:v>
      </x:c>
      <x:c r="C46" s="2" t="str">
        <x:v>optimized</x:v>
      </x:c>
      <x:c r="D46" s="2" t="n">
        <x:v>1</x:v>
      </x:c>
      <x:c r="E46" s="9" t="n">
        <x:v>9961472</x:v>
      </x:c>
      <x:c r="F46" s="10" t="n">
        <x:v>10.0189879</x:v>
      </x:c>
      <x:c r="G46" s="10" t="n">
        <x:f>E46/F46</x:f>
        <x:v>994259.3103640737</x:v>
      </x:c>
      <x:c r="H46" s="10"/>
      <x:c r="I46" s="2" t="str">
        <x:v>R.Relic:GPU(Dense)</x:v>
      </x:c>
      <x:c r="J46" s="9" t="n">
        <x:v>8192</x:v>
      </x:c>
      <x:c r="K46" s="9" t="n">
        <x:v>8192</x:v>
      </x:c>
      <x:c r="L46" s="9" t="n">
        <x:v>32</x:v>
      </x:c>
      <x:c r="M46" s="2" t="str">
        <x:v>9KT7EQEZ0000</x:v>
      </x:c>
      <x:c r="N46" s="2" t="n">
        <x:v>4096</x:v>
      </x:c>
    </x:row>
    <x:row r="47" ht="22" customHeight="1">
      <x:c r="A47" s="2" t="str">
        <x:v>resource15-full34-vs-upstream</x:v>
      </x:c>
      <x:c r="B47" s="2" t="str">
        <x:v>F01</x:v>
      </x:c>
      <x:c r="C47" s="2" t="str">
        <x:v>original</x:v>
      </x:c>
      <x:c r="D47" s="2" t="n">
        <x:v>2</x:v>
      </x:c>
      <x:c r="E47" s="9" t="n">
        <x:v>8986624</x:v>
      </x:c>
      <x:c r="F47" s="10" t="n">
        <x:v>10.0046108</x:v>
      </x:c>
      <x:c r="G47" s="10" t="n">
        <x:f>E47/F47</x:f>
        <x:v>898248.2357034818</x:v>
      </x:c>
      <x:c r="H47" s="10"/>
      <x:c r="I47" s="2" t="str">
        <x:v>R.Relic:GPU(Dense)</x:v>
      </x:c>
      <x:c r="J47" s="9" t="n">
        <x:v>8192</x:v>
      </x:c>
      <x:c r="K47" s="9" t="n">
        <x:v>8192</x:v>
      </x:c>
      <x:c r="L47" s="9" t="n">
        <x:v>32</x:v>
      </x:c>
      <x:c r="M47" s="2" t="str">
        <x:v>9KT7EQEZ0000</x:v>
      </x:c>
      <x:c r="N47" s="2" t="n">
        <x:v>4096</x:v>
      </x:c>
    </x:row>
    <x:row r="48" ht="22" customHeight="1">
      <x:c r="A48" s="2" t="str">
        <x:v>resource15-full34-vs-upstream</x:v>
      </x:c>
      <x:c r="B48" s="2" t="str">
        <x:v>F01</x:v>
      </x:c>
      <x:c r="C48" s="2" t="str">
        <x:v>optimized</x:v>
      </x:c>
      <x:c r="D48" s="2" t="n">
        <x:v>2</x:v>
      </x:c>
      <x:c r="E48" s="9" t="n">
        <x:v>9502720</x:v>
      </x:c>
      <x:c r="F48" s="10" t="n">
        <x:v>10.0060692</x:v>
      </x:c>
      <x:c r="G48" s="10" t="n">
        <x:f>E48/F48</x:f>
        <x:v>949695.6107399296</x:v>
      </x:c>
      <x:c r="H48" s="10"/>
      <x:c r="I48" s="2" t="str">
        <x:v>R.Relic:GPU(Dense)</x:v>
      </x:c>
      <x:c r="J48" s="9" t="n">
        <x:v>8192</x:v>
      </x:c>
      <x:c r="K48" s="9" t="n">
        <x:v>8192</x:v>
      </x:c>
      <x:c r="L48" s="9" t="n">
        <x:v>32</x:v>
      </x:c>
      <x:c r="M48" s="2" t="str">
        <x:v>9KT7EQEZ0000</x:v>
      </x:c>
      <x:c r="N48" s="2" t="n">
        <x:v>4096</x:v>
      </x:c>
    </x:row>
    <x:row r="49" ht="22" customHeight="1">
      <x:c r="A49" s="2" t="str">
        <x:v>resource15-full34-vs-upstream</x:v>
      </x:c>
      <x:c r="B49" s="2" t="str">
        <x:v>F02</x:v>
      </x:c>
      <x:c r="C49" s="2" t="str">
        <x:v>original</x:v>
      </x:c>
      <x:c r="D49" s="2" t="n">
        <x:v>1</x:v>
      </x:c>
      <x:c r="E49" s="9" t="n">
        <x:v>1925120</x:v>
      </x:c>
      <x:c r="F49" s="10" t="n">
        <x:v>10.0176334</x:v>
      </x:c>
      <x:c r="G49" s="10" t="n">
        <x:f>E49/F49</x:f>
        <x:v>192173.13342690302</x:v>
      </x:c>
      <x:c r="H49" s="10"/>
      <x:c r="I49" s="2" t="str">
        <x:v>C.CombatReward:GPU(Dense)</x:v>
      </x:c>
      <x:c r="J49" s="9" t="n">
        <x:v>8192</x:v>
      </x:c>
      <x:c r="K49" s="9" t="n">
        <x:v>8192</x:v>
      </x:c>
      <x:c r="L49" s="9" t="n">
        <x:v>32</x:v>
      </x:c>
      <x:c r="M49" s="2" t="str">
        <x:v>9KT7EQEZ0000</x:v>
      </x:c>
      <x:c r="N49" s="2" t="n">
        <x:v>4096</x:v>
      </x:c>
    </x:row>
    <x:row r="50" ht="22" customHeight="1">
      <x:c r="A50" s="2" t="str">
        <x:v>resource15-full34-vs-upstream</x:v>
      </x:c>
      <x:c r="B50" s="2" t="str">
        <x:v>F02</x:v>
      </x:c>
      <x:c r="C50" s="2" t="str">
        <x:v>optimized</x:v>
      </x:c>
      <x:c r="D50" s="2" t="n">
        <x:v>1</x:v>
      </x:c>
      <x:c r="E50" s="9" t="n">
        <x:v>2416640</x:v>
      </x:c>
      <x:c r="F50" s="10" t="n">
        <x:v>10.0031452</x:v>
      </x:c>
      <x:c r="G50" s="10" t="n">
        <x:f>E50/F50</x:f>
        <x:v>241588.0157372903</x:v>
      </x:c>
      <x:c r="H50" s="10"/>
      <x:c r="I50" s="2" t="str">
        <x:v>C.CombatReward:GPU(Dense)</x:v>
      </x:c>
      <x:c r="J50" s="9" t="n">
        <x:v>8192</x:v>
      </x:c>
      <x:c r="K50" s="9" t="n">
        <x:v>8192</x:v>
      </x:c>
      <x:c r="L50" s="9" t="n">
        <x:v>32</x:v>
      </x:c>
      <x:c r="M50" s="2" t="str">
        <x:v>9KT7EQEZ0000</x:v>
      </x:c>
      <x:c r="N50" s="2" t="n">
        <x:v>4096</x:v>
      </x:c>
    </x:row>
    <x:row r="51" ht="22" customHeight="1">
      <x:c r="A51" s="2" t="str">
        <x:v>resource15-full34-vs-upstream</x:v>
      </x:c>
      <x:c r="B51" s="2" t="str">
        <x:v>F02</x:v>
      </x:c>
      <x:c r="C51" s="2" t="str">
        <x:v>original</x:v>
      </x:c>
      <x:c r="D51" s="2" t="n">
        <x:v>2</x:v>
      </x:c>
      <x:c r="E51" s="9" t="n">
        <x:v>2318336</x:v>
      </x:c>
      <x:c r="F51" s="10" t="n">
        <x:v>10.0036071</x:v>
      </x:c>
      <x:c r="G51" s="10" t="n">
        <x:f>E51/F51</x:f>
        <x:v>231750.00545553214</x:v>
      </x:c>
      <x:c r="H51" s="10"/>
      <x:c r="I51" s="2" t="str">
        <x:v>C.CombatReward:GPU(Dense)</x:v>
      </x:c>
      <x:c r="J51" s="9" t="n">
        <x:v>8192</x:v>
      </x:c>
      <x:c r="K51" s="9" t="n">
        <x:v>8192</x:v>
      </x:c>
      <x:c r="L51" s="9" t="n">
        <x:v>32</x:v>
      </x:c>
      <x:c r="M51" s="2" t="str">
        <x:v>9KT7EQEZ0000</x:v>
      </x:c>
      <x:c r="N51" s="2" t="n">
        <x:v>4096</x:v>
      </x:c>
    </x:row>
    <x:row r="52" ht="22" customHeight="1">
      <x:c r="A52" s="2" t="str">
        <x:v>resource15-full34-vs-upstream</x:v>
      </x:c>
      <x:c r="B52" s="2" t="str">
        <x:v>F02</x:v>
      </x:c>
      <x:c r="C52" s="2" t="str">
        <x:v>optimized</x:v>
      </x:c>
      <x:c r="D52" s="2" t="n">
        <x:v>2</x:v>
      </x:c>
      <x:c r="E52" s="9" t="n">
        <x:v>2195456</x:v>
      </x:c>
      <x:c r="F52" s="10" t="n">
        <x:v>10.0315418</x:v>
      </x:c>
      <x:c r="G52" s="10" t="n">
        <x:f>E52/F52</x:f>
        <x:v>218855.2910181763</x:v>
      </x:c>
      <x:c r="H52" s="10"/>
      <x:c r="I52" s="2" t="str">
        <x:v>C.CombatReward:GPU(Dense)</x:v>
      </x:c>
      <x:c r="J52" s="9" t="n">
        <x:v>8192</x:v>
      </x:c>
      <x:c r="K52" s="9" t="n">
        <x:v>8192</x:v>
      </x:c>
      <x:c r="L52" s="9" t="n">
        <x:v>32</x:v>
      </x:c>
      <x:c r="M52" s="2" t="str">
        <x:v>9KT7EQEZ0000</x:v>
      </x:c>
      <x:c r="N52" s="2" t="n">
        <x:v>4096</x:v>
      </x:c>
    </x:row>
    <x:row r="53" ht="22" customHeight="1">
      <x:c r="A53" s="2" t="str">
        <x:v>resource15-full34-vs-upstream</x:v>
      </x:c>
      <x:c r="B53" s="2" t="str">
        <x:v>F03</x:v>
      </x:c>
      <x:c r="C53" s="2" t="str">
        <x:v>original</x:v>
      </x:c>
      <x:c r="D53" s="2" t="n">
        <x:v>1</x:v>
      </x:c>
      <x:c r="E53" s="9" t="n">
        <x:v>10027008</x:v>
      </x:c>
      <x:c r="F53" s="10" t="n">
        <x:v>10.0188673</x:v>
      </x:c>
      <x:c r="G53" s="10" t="n">
        <x:f>E53/F53</x:f>
        <x:v>1000812.5369621374</x:v>
      </x:c>
      <x:c r="H53" s="10"/>
      <x:c r="I53" s="2" t="str">
        <x:v>E.EventResult:GPU(Dense)</x:v>
      </x:c>
      <x:c r="J53" s="9" t="n">
        <x:v>8192</x:v>
      </x:c>
      <x:c r="K53" s="9" t="n">
        <x:v>8192</x:v>
      </x:c>
      <x:c r="L53" s="9" t="n">
        <x:v>32</x:v>
      </x:c>
      <x:c r="M53" s="2" t="str">
        <x:v>9KT7EQEZ0000</x:v>
      </x:c>
      <x:c r="N53" s="2" t="n">
        <x:v>4096</x:v>
      </x:c>
    </x:row>
    <x:row r="54" ht="22" customHeight="1">
      <x:c r="A54" s="2" t="str">
        <x:v>resource15-full34-vs-upstream</x:v>
      </x:c>
      <x:c r="B54" s="2" t="str">
        <x:v>F03</x:v>
      </x:c>
      <x:c r="C54" s="2" t="str">
        <x:v>optimized</x:v>
      </x:c>
      <x:c r="D54" s="2" t="n">
        <x:v>1</x:v>
      </x:c>
      <x:c r="E54" s="9" t="n">
        <x:v>19480576</x:v>
      </x:c>
      <x:c r="F54" s="10" t="n">
        <x:v>10.0033237</x:v>
      </x:c>
      <x:c r="G54" s="10" t="n">
        <x:f>E54/F54</x:f>
        <x:v>1947410.3392255518</x:v>
      </x:c>
      <x:c r="H54" s="10"/>
      <x:c r="I54" s="2" t="str">
        <x:v>E.EventResult:GPU(Dense)</x:v>
      </x:c>
      <x:c r="J54" s="9" t="n">
        <x:v>8192</x:v>
      </x:c>
      <x:c r="K54" s="9" t="n">
        <x:v>8192</x:v>
      </x:c>
      <x:c r="L54" s="9" t="n">
        <x:v>32</x:v>
      </x:c>
      <x:c r="M54" s="2" t="str">
        <x:v>9KT7EQEZ0000</x:v>
      </x:c>
      <x:c r="N54" s="2" t="n">
        <x:v>4096</x:v>
      </x:c>
    </x:row>
    <x:row r="55" ht="22" customHeight="1">
      <x:c r="A55" s="2" t="str">
        <x:v>resource15-full34-vs-upstream</x:v>
      </x:c>
      <x:c r="B55" s="2" t="str">
        <x:v>F03</x:v>
      </x:c>
      <x:c r="C55" s="2" t="str">
        <x:v>original</x:v>
      </x:c>
      <x:c r="D55" s="2" t="n">
        <x:v>2</x:v>
      </x:c>
      <x:c r="E55" s="9" t="n">
        <x:v>19415040</x:v>
      </x:c>
      <x:c r="F55" s="10" t="n">
        <x:v>10.0025086</x:v>
      </x:c>
      <x:c r="G55" s="10" t="n">
        <x:f>E55/F55</x:f>
        <x:v>1941017.0764562</x:v>
      </x:c>
      <x:c r="H55" s="10"/>
      <x:c r="I55" s="2" t="str">
        <x:v>E.EventResult:GPU(Dense)</x:v>
      </x:c>
      <x:c r="J55" s="9" t="n">
        <x:v>8192</x:v>
      </x:c>
      <x:c r="K55" s="9" t="n">
        <x:v>8192</x:v>
      </x:c>
      <x:c r="L55" s="9" t="n">
        <x:v>32</x:v>
      </x:c>
      <x:c r="M55" s="2" t="str">
        <x:v>9KT7EQEZ0000</x:v>
      </x:c>
      <x:c r="N55" s="2" t="n">
        <x:v>4096</x:v>
      </x:c>
    </x:row>
    <x:row r="56" ht="22" customHeight="1">
      <x:c r="A56" s="2" t="str">
        <x:v>resource15-full34-vs-upstream</x:v>
      </x:c>
      <x:c r="B56" s="2" t="str">
        <x:v>F03</x:v>
      </x:c>
      <x:c r="C56" s="2" t="str">
        <x:v>optimized</x:v>
      </x:c>
      <x:c r="D56" s="2" t="n">
        <x:v>2</x:v>
      </x:c>
      <x:c r="E56" s="9" t="n">
        <x:v>19660800</x:v>
      </x:c>
      <x:c r="F56" s="10" t="n">
        <x:v>10.0006077</x:v>
      </x:c>
      <x:c r="G56" s="10" t="n">
        <x:f>E56/F56</x:f>
        <x:v>1965960.5285786784</x:v>
      </x:c>
      <x:c r="H56" s="10"/>
      <x:c r="I56" s="2" t="str">
        <x:v>E.EventResult:GPU(Dense)</x:v>
      </x:c>
      <x:c r="J56" s="9" t="n">
        <x:v>8192</x:v>
      </x:c>
      <x:c r="K56" s="9" t="n">
        <x:v>8192</x:v>
      </x:c>
      <x:c r="L56" s="9" t="n">
        <x:v>32</x:v>
      </x:c>
      <x:c r="M56" s="2" t="str">
        <x:v>9KT7EQEZ0000</x:v>
      </x:c>
      <x:c r="N56" s="2" t="n">
        <x:v>4096</x:v>
      </x:c>
    </x:row>
    <x:row r="57" ht="22" customHeight="1">
      <x:c r="A57" s="2" t="str">
        <x:v>resource15-full34-vs-upstream</x:v>
      </x:c>
      <x:c r="B57" s="2" t="str">
        <x:v>F04</x:v>
      </x:c>
      <x:c r="C57" s="2" t="str">
        <x:v>original</x:v>
      </x:c>
      <x:c r="D57" s="2" t="n">
        <x:v>1</x:v>
      </x:c>
      <x:c r="E57" s="9" t="n">
        <x:v>1818624</x:v>
      </x:c>
      <x:c r="F57" s="10" t="n">
        <x:v>10.0025019</x:v>
      </x:c>
      <x:c r="G57" s="10" t="n">
        <x:f>E57/F57</x:f>
        <x:v>181816.91122698013</x:v>
      </x:c>
      <x:c r="H57" s="10"/>
      <x:c r="I57" s="2" t="str">
        <x:v>W.World:GPU(Dense)</x:v>
      </x:c>
      <x:c r="J57" s="9" t="n">
        <x:v>8192</x:v>
      </x:c>
      <x:c r="K57" s="9" t="n">
        <x:v>8192</x:v>
      </x:c>
      <x:c r="L57" s="9" t="n">
        <x:v>32</x:v>
      </x:c>
      <x:c r="M57" s="2" t="str">
        <x:v>9KT7EQEZ0000</x:v>
      </x:c>
      <x:c r="N57" s="2" t="n">
        <x:v>4096</x:v>
      </x:c>
    </x:row>
    <x:row r="58" ht="22" customHeight="1">
      <x:c r="A58" s="2" t="str">
        <x:v>resource15-full34-vs-upstream</x:v>
      </x:c>
      <x:c r="B58" s="2" t="str">
        <x:v>F04</x:v>
      </x:c>
      <x:c r="C58" s="2" t="str">
        <x:v>optimized</x:v>
      </x:c>
      <x:c r="D58" s="2" t="n">
        <x:v>1</x:v>
      </x:c>
      <x:c r="E58" s="9" t="n">
        <x:v>15941632</x:v>
      </x:c>
      <x:c r="F58" s="10" t="n">
        <x:v>10.0012854</x:v>
      </x:c>
      <x:c r="G58" s="10" t="n">
        <x:f>E58/F58</x:f>
        <x:v>1593958.3125984985</x:v>
      </x:c>
      <x:c r="H58" s="10"/>
      <x:c r="I58" s="2" t="str">
        <x:v>W.World:GPU(Dense)</x:v>
      </x:c>
      <x:c r="J58" s="9" t="n">
        <x:v>8192</x:v>
      </x:c>
      <x:c r="K58" s="9" t="n">
        <x:v>8192</x:v>
      </x:c>
      <x:c r="L58" s="9" t="n">
        <x:v>32</x:v>
      </x:c>
      <x:c r="M58" s="2" t="str">
        <x:v>9KT7EQEZ0000</x:v>
      </x:c>
      <x:c r="N58" s="2" t="n">
        <x:v>4096</x:v>
      </x:c>
    </x:row>
    <x:row r="59" ht="22" customHeight="1">
      <x:c r="A59" s="2" t="str">
        <x:v>resource15-full34-vs-upstream</x:v>
      </x:c>
      <x:c r="B59" s="2" t="str">
        <x:v>F04</x:v>
      </x:c>
      <x:c r="C59" s="2" t="str">
        <x:v>original</x:v>
      </x:c>
      <x:c r="D59" s="2" t="n">
        <x:v>2</x:v>
      </x:c>
      <x:c r="E59" s="9" t="n">
        <x:v>2400256</x:v>
      </x:c>
      <x:c r="F59" s="10" t="n">
        <x:v>10.0002244</x:v>
      </x:c>
      <x:c r="G59" s="10" t="n">
        <x:f>E59/F59</x:f>
        <x:v>240020.21394639905</x:v>
      </x:c>
      <x:c r="H59" s="10"/>
      <x:c r="I59" s="2" t="str">
        <x:v>W.World:GPU(Dense)</x:v>
      </x:c>
      <x:c r="J59" s="9" t="n">
        <x:v>8192</x:v>
      </x:c>
      <x:c r="K59" s="9" t="n">
        <x:v>8192</x:v>
      </x:c>
      <x:c r="L59" s="9" t="n">
        <x:v>32</x:v>
      </x:c>
      <x:c r="M59" s="2" t="str">
        <x:v>9KT7EQEZ0000</x:v>
      </x:c>
      <x:c r="N59" s="2" t="n">
        <x:v>4096</x:v>
      </x:c>
    </x:row>
    <x:row r="60" ht="22" customHeight="1">
      <x:c r="A60" s="2" t="str">
        <x:v>resource15-full34-vs-upstream</x:v>
      </x:c>
      <x:c r="B60" s="2" t="str">
        <x:v>F04</x:v>
      </x:c>
      <x:c r="C60" s="2" t="str">
        <x:v>optimized</x:v>
      </x:c>
      <x:c r="D60" s="2" t="n">
        <x:v>2</x:v>
      </x:c>
      <x:c r="E60" s="9" t="n">
        <x:v>15409152</x:v>
      </x:c>
      <x:c r="F60" s="10" t="n">
        <x:v>10.0006255</x:v>
      </x:c>
      <x:c r="G60" s="10" t="n">
        <x:f>E60/F60</x:f>
        <x:v>1540818.8217826975</x:v>
      </x:c>
      <x:c r="H60" s="10"/>
      <x:c r="I60" s="2" t="str">
        <x:v>W.World:GPU(Dense)</x:v>
      </x:c>
      <x:c r="J60" s="9" t="n">
        <x:v>8192</x:v>
      </x:c>
      <x:c r="K60" s="9" t="n">
        <x:v>8192</x:v>
      </x:c>
      <x:c r="L60" s="9" t="n">
        <x:v>32</x:v>
      </x:c>
      <x:c r="M60" s="2" t="str">
        <x:v>9KT7EQEZ0000</x:v>
      </x:c>
      <x:c r="N60" s="2" t="n">
        <x:v>4096</x:v>
      </x:c>
    </x:row>
    <x:row r="61" ht="22" customHeight="1">
      <x:c r="A61" s="2" t="str">
        <x:v>resource15-full34-vs-upstream</x:v>
      </x:c>
      <x:c r="B61" s="2" t="str">
        <x:v>F05</x:v>
      </x:c>
      <x:c r="C61" s="2" t="str">
        <x:v>original</x:v>
      </x:c>
      <x:c r="D61" s="2" t="n">
        <x:v>1</x:v>
      </x:c>
      <x:c r="E61" s="9" t="n">
        <x:v>37412864</x:v>
      </x:c>
      <x:c r="F61" s="10" t="n">
        <x:v>10.0010513</x:v>
      </x:c>
      <x:c r="G61" s="10" t="n">
        <x:f>E61/F61</x:f>
        <x:v>3740893.119906304</x:v>
      </x:c>
      <x:c r="H61" s="10"/>
      <x:c r="I61" s="2" t="str">
        <x:v>S.MerchantShopColorless:GPU(Dense)</x:v>
      </x:c>
      <x:c r="J61" s="9" t="n">
        <x:v>8192</x:v>
      </x:c>
      <x:c r="K61" s="9" t="n">
        <x:v>8192</x:v>
      </x:c>
      <x:c r="L61" s="9" t="n">
        <x:v>32</x:v>
      </x:c>
      <x:c r="M61" s="2" t="str">
        <x:v>9KT7EQEZ0000</x:v>
      </x:c>
      <x:c r="N61" s="2" t="n">
        <x:v>4096</x:v>
      </x:c>
    </x:row>
    <x:row r="62" ht="22" customHeight="1">
      <x:c r="A62" s="2" t="str">
        <x:v>resource15-full34-vs-upstream</x:v>
      </x:c>
      <x:c r="B62" s="2" t="str">
        <x:v>F05</x:v>
      </x:c>
      <x:c r="C62" s="2" t="str">
        <x:v>optimized</x:v>
      </x:c>
      <x:c r="D62" s="2" t="n">
        <x:v>1</x:v>
      </x:c>
      <x:c r="E62" s="9" t="n">
        <x:v>248692736</x:v>
      </x:c>
      <x:c r="F62" s="10" t="n">
        <x:v>10.0002394</x:v>
      </x:c>
      <x:c r="G62" s="10" t="n">
        <x:f>E62/F62</x:f>
        <x:v>24868678.243842844</x:v>
      </x:c>
      <x:c r="H62" s="10"/>
      <x:c r="I62" s="2" t="str">
        <x:v>S.MerchantShopColorless:GPU(Dense)</x:v>
      </x:c>
      <x:c r="J62" s="9" t="n">
        <x:v>8192</x:v>
      </x:c>
      <x:c r="K62" s="9" t="n">
        <x:v>8192</x:v>
      </x:c>
      <x:c r="L62" s="9" t="n">
        <x:v>32</x:v>
      </x:c>
      <x:c r="M62" s="2" t="str">
        <x:v>9KT7EQEZ0000</x:v>
      </x:c>
      <x:c r="N62" s="2" t="n">
        <x:v>4096</x:v>
      </x:c>
    </x:row>
    <x:row r="63" ht="22" customHeight="1">
      <x:c r="A63" s="2" t="str">
        <x:v>resource15-full34-vs-upstream</x:v>
      </x:c>
      <x:c r="B63" s="2" t="str">
        <x:v>F05</x:v>
      </x:c>
      <x:c r="C63" s="2" t="str">
        <x:v>original</x:v>
      </x:c>
      <x:c r="D63" s="2" t="n">
        <x:v>2</x:v>
      </x:c>
      <x:c r="E63" s="9" t="n">
        <x:v>35889152</x:v>
      </x:c>
      <x:c r="F63" s="10" t="n">
        <x:v>10.0011038</x:v>
      </x:c>
      <x:c r="G63" s="10" t="n">
        <x:f>E63/F63</x:f>
        <x:v>3588519.0992618236</x:v>
      </x:c>
      <x:c r="H63" s="10"/>
      <x:c r="I63" s="2" t="str">
        <x:v>S.MerchantShopColorless:GPU(Dense)</x:v>
      </x:c>
      <x:c r="J63" s="9" t="n">
        <x:v>8192</x:v>
      </x:c>
      <x:c r="K63" s="9" t="n">
        <x:v>8192</x:v>
      </x:c>
      <x:c r="L63" s="9" t="n">
        <x:v>32</x:v>
      </x:c>
      <x:c r="M63" s="2" t="str">
        <x:v>9KT7EQEZ0000</x:v>
      </x:c>
      <x:c r="N63" s="2" t="n">
        <x:v>4096</x:v>
      </x:c>
    </x:row>
    <x:row r="64" ht="22" customHeight="1">
      <x:c r="A64" s="2" t="str">
        <x:v>resource15-full34-vs-upstream</x:v>
      </x:c>
      <x:c r="B64" s="2" t="str">
        <x:v>F05</x:v>
      </x:c>
      <x:c r="C64" s="2" t="str">
        <x:v>optimized</x:v>
      </x:c>
      <x:c r="D64" s="2" t="n">
        <x:v>2</x:v>
      </x:c>
      <x:c r="E64" s="9" t="n">
        <x:v>235044864</x:v>
      </x:c>
      <x:c r="F64" s="10" t="n">
        <x:v>10.0014732</x:v>
      </x:c>
      <x:c r="G64" s="10" t="n">
        <x:f>E64/F64</x:f>
        <x:v>23501024.22911057</x:v>
      </x:c>
      <x:c r="H64" s="10"/>
      <x:c r="I64" s="2" t="str">
        <x:v>S.MerchantShopColorless:GPU(Dense)</x:v>
      </x:c>
      <x:c r="J64" s="9" t="n">
        <x:v>8192</x:v>
      </x:c>
      <x:c r="K64" s="9" t="n">
        <x:v>8192</x:v>
      </x:c>
      <x:c r="L64" s="9" t="n">
        <x:v>32</x:v>
      </x:c>
      <x:c r="M64" s="2" t="str">
        <x:v>9KT7EQEZ0000</x:v>
      </x:c>
      <x:c r="N64" s="2" t="n">
        <x:v>4096</x:v>
      </x:c>
    </x:row>
    <x:row r="65" ht="22" customHeight="1">
      <x:c r="A65" s="2" t="str">
        <x:v>resource15-full34-vs-upstream</x:v>
      </x:c>
      <x:c r="B65" s="2" t="str">
        <x:v>F06</x:v>
      </x:c>
      <x:c r="C65" s="2" t="str">
        <x:v>original</x:v>
      </x:c>
      <x:c r="D65" s="2" t="n">
        <x:v>1</x:v>
      </x:c>
      <x:c r="E65" s="9" t="n">
        <x:v>14114816</x:v>
      </x:c>
      <x:c r="F65" s="10" t="n">
        <x:v>10.001387</x:v>
      </x:c>
      <x:c r="G65" s="10" t="n">
        <x:f>E65/F65</x:f>
        <x:v>1411285.8546519598</x:v>
      </x:c>
      <x:c r="H65" s="10"/>
      <x:c r="I65" s="2" t="str">
        <x:v>T.TransformationAggregate:CPU(Dense)</x:v>
      </x:c>
      <x:c r="J65" s="9" t="n">
        <x:v>8192</x:v>
      </x:c>
      <x:c r="K65" s="9" t="n">
        <x:v>8192</x:v>
      </x:c>
      <x:c r="L65" s="9" t="n">
        <x:v>32</x:v>
      </x:c>
      <x:c r="M65" s="2" t="str">
        <x:v>9KT7EQEZ0000</x:v>
      </x:c>
      <x:c r="N65" s="2" t="n">
        <x:v>4096</x:v>
      </x:c>
    </x:row>
    <x:row r="66" ht="22" customHeight="1">
      <x:c r="A66" s="2" t="str">
        <x:v>resource15-full34-vs-upstream</x:v>
      </x:c>
      <x:c r="B66" s="2" t="str">
        <x:v>F06</x:v>
      </x:c>
      <x:c r="C66" s="2" t="str">
        <x:v>optimized</x:v>
      </x:c>
      <x:c r="D66" s="2" t="n">
        <x:v>1</x:v>
      </x:c>
      <x:c r="E66" s="9" t="n">
        <x:v>27901952</x:v>
      </x:c>
      <x:c r="F66" s="10" t="n">
        <x:v>10.0014897</x:v>
      </x:c>
      <x:c r="G66" s="10" t="n">
        <x:f>E66/F66</x:f>
        <x:v>2789779.606532015</x:v>
      </x:c>
      <x:c r="H66" s="10"/>
      <x:c r="I66" s="2" t="str">
        <x:v>T.TransformationAggregate:GPU(Dense)</x:v>
      </x:c>
      <x:c r="J66" s="9" t="n">
        <x:v>8192</x:v>
      </x:c>
      <x:c r="K66" s="9" t="n">
        <x:v>8192</x:v>
      </x:c>
      <x:c r="L66" s="9" t="n">
        <x:v>32</x:v>
      </x:c>
      <x:c r="M66" s="2" t="str">
        <x:v>9KT7EQEZ0000</x:v>
      </x:c>
      <x:c r="N66" s="2" t="n">
        <x:v>4096</x:v>
      </x:c>
    </x:row>
    <x:row r="67" ht="22" customHeight="1">
      <x:c r="A67" s="2" t="str">
        <x:v>resource15-full34-vs-upstream</x:v>
      </x:c>
      <x:c r="B67" s="2" t="str">
        <x:v>F06</x:v>
      </x:c>
      <x:c r="C67" s="2" t="str">
        <x:v>original</x:v>
      </x:c>
      <x:c r="D67" s="2" t="n">
        <x:v>2</x:v>
      </x:c>
      <x:c r="E67" s="9" t="n">
        <x:v>28278784</x:v>
      </x:c>
      <x:c r="F67" s="10" t="n">
        <x:v>10.0026435</x:v>
      </x:c>
      <x:c r="G67" s="10" t="n">
        <x:f>E67/F67</x:f>
        <x:v>2827131.0479074856</x:v>
      </x:c>
      <x:c r="H67" s="10"/>
      <x:c r="I67" s="2" t="str">
        <x:v>T.TransformationAggregate:CPU(Dense)</x:v>
      </x:c>
      <x:c r="J67" s="9" t="n">
        <x:v>8192</x:v>
      </x:c>
      <x:c r="K67" s="9" t="n">
        <x:v>8192</x:v>
      </x:c>
      <x:c r="L67" s="9" t="n">
        <x:v>32</x:v>
      </x:c>
      <x:c r="M67" s="2" t="str">
        <x:v>9KT7EQEZ0000</x:v>
      </x:c>
      <x:c r="N67" s="2" t="n">
        <x:v>4096</x:v>
      </x:c>
    </x:row>
    <x:row r="68" ht="22" customHeight="1">
      <x:c r="A68" s="2" t="str">
        <x:v>resource15-full34-vs-upstream</x:v>
      </x:c>
      <x:c r="B68" s="2" t="str">
        <x:v>F06</x:v>
      </x:c>
      <x:c r="C68" s="2" t="str">
        <x:v>optimized</x:v>
      </x:c>
      <x:c r="D68" s="2" t="n">
        <x:v>2</x:v>
      </x:c>
      <x:c r="E68" s="9" t="n">
        <x:v>27811840</x:v>
      </x:c>
      <x:c r="F68" s="10" t="n">
        <x:v>10.0052384</x:v>
      </x:c>
      <x:c r="G68" s="10" t="n">
        <x:f>E68/F68</x:f>
        <x:v>2779727.8673539655</x:v>
      </x:c>
      <x:c r="H68" s="10"/>
      <x:c r="I68" s="2" t="str">
        <x:v>T.TransformationAggregate:GPU(Dense)</x:v>
      </x:c>
      <x:c r="J68" s="9" t="n">
        <x:v>8192</x:v>
      </x:c>
      <x:c r="K68" s="9" t="n">
        <x:v>8192</x:v>
      </x:c>
      <x:c r="L68" s="9" t="n">
        <x:v>32</x:v>
      </x:c>
      <x:c r="M68" s="2" t="str">
        <x:v>9KT7EQEZ0000</x:v>
      </x:c>
      <x:c r="N68" s="2" t="n">
        <x:v>4096</x:v>
      </x:c>
    </x:row>
    <x:row r="69" ht="22" customHeight="1">
      <x:c r="A69" s="2" t="str">
        <x:v>resource15-full34-vs-upstream</x:v>
      </x:c>
      <x:c r="B69" s="2" t="str">
        <x:v>P01</x:v>
      </x:c>
      <x:c r="C69" s="2" t="str">
        <x:v>original</x:v>
      </x:c>
      <x:c r="D69" s="2" t="n">
        <x:v>1</x:v>
      </x:c>
      <x:c r="E69" s="9" t="n">
        <x:v>15938355200</x:v>
      </x:c>
      <x:c r="F69" s="10" t="n">
        <x:v>10.0010823</x:v>
      </x:c>
      <x:c r="G69" s="10" t="n">
        <x:f>E69/F69</x:f>
        <x:v>1593663037.8494136</x:v>
      </x:c>
      <x:c r="H69" s="10"/>
      <x:c r="I69" s="2" t="str">
        <x:v>N.Neow:GPU(Dense) → R.Relic:GPU(CompactAbi1) → C.CombatReward:GPU(CompactAbi1)</x:v>
      </x:c>
      <x:c r="J69" s="9" t="n">
        <x:v>33554432</x:v>
      </x:c>
      <x:c r="K69" s="9" t="n">
        <x:v>0</x:v>
      </x:c>
      <x:c r="L69" s="9" t="n">
        <x:v>32</x:v>
      </x:c>
      <x:c r="M69" s="2" t="str">
        <x:v>9KT7EQEZ0000</x:v>
      </x:c>
      <x:c r="N69" s="2" t="n">
        <x:v>4096</x:v>
      </x:c>
    </x:row>
    <x:row r="70" ht="22" customHeight="1">
      <x:c r="A70" s="2" t="str">
        <x:v>resource15-full34-vs-upstream</x:v>
      </x:c>
      <x:c r="B70" s="2" t="str">
        <x:v>P01</x:v>
      </x:c>
      <x:c r="C70" s="2" t="str">
        <x:v>optimized</x:v>
      </x:c>
      <x:c r="D70" s="2" t="n">
        <x:v>1</x:v>
      </x:c>
      <x:c r="E70" s="9" t="n">
        <x:v>31507611648</x:v>
      </x:c>
      <x:c r="F70" s="10" t="n">
        <x:v>10.0027656</x:v>
      </x:c>
      <x:c r="G70" s="10" t="n">
        <x:f>E70/F70</x:f>
        <x:v>3149890031.212968</x:v>
      </x:c>
      <x:c r="H70" s="10"/>
      <x:c r="I70" s="2" t="str">
        <x:v>N.Neow:GPU(Dense) → R.Relic:GPU(CompactAbi1) → C.CombatReward:GPU(CompactAbi1)</x:v>
      </x:c>
      <x:c r="J70" s="9" t="n">
        <x:v>33554432</x:v>
      </x:c>
      <x:c r="K70" s="9" t="n">
        <x:v>0</x:v>
      </x:c>
      <x:c r="L70" s="9" t="n">
        <x:v>32</x:v>
      </x:c>
      <x:c r="M70" s="2" t="str">
        <x:v>9KT7EQEZ0000</x:v>
      </x:c>
      <x:c r="N70" s="2" t="n">
        <x:v>4096</x:v>
      </x:c>
    </x:row>
    <x:row r="71" ht="22" customHeight="1">
      <x:c r="A71" s="2" t="str">
        <x:v>resource15-full34-vs-upstream</x:v>
      </x:c>
      <x:c r="B71" s="2" t="str">
        <x:v>P01</x:v>
      </x:c>
      <x:c r="C71" s="2" t="str">
        <x:v>original</x:v>
      </x:c>
      <x:c r="D71" s="2" t="n">
        <x:v>2</x:v>
      </x:c>
      <x:c r="E71" s="9" t="n">
        <x:v>17481859072</x:v>
      </x:c>
      <x:c r="F71" s="10" t="n">
        <x:v>10.0016712</x:v>
      </x:c>
      <x:c r="G71" s="10" t="n">
        <x:f>E71/F71</x:f>
        <x:v>1747893799.1882796</x:v>
      </x:c>
      <x:c r="H71" s="10"/>
      <x:c r="I71" s="2" t="str">
        <x:v>N.Neow:GPU(Dense) → R.Relic:GPU(CompactAbi1) → C.CombatReward:GPU(CompactAbi1)</x:v>
      </x:c>
      <x:c r="J71" s="9" t="n">
        <x:v>33554432</x:v>
      </x:c>
      <x:c r="K71" s="9" t="n">
        <x:v>0</x:v>
      </x:c>
      <x:c r="L71" s="9" t="n">
        <x:v>32</x:v>
      </x:c>
      <x:c r="M71" s="2" t="str">
        <x:v>9KT7EQEZ0000</x:v>
      </x:c>
      <x:c r="N71" s="2" t="n">
        <x:v>4096</x:v>
      </x:c>
    </x:row>
    <x:row r="72" ht="22" customHeight="1">
      <x:c r="A72" s="2" t="str">
        <x:v>resource15-full34-vs-upstream</x:v>
      </x:c>
      <x:c r="B72" s="2" t="str">
        <x:v>P01</x:v>
      </x:c>
      <x:c r="C72" s="2" t="str">
        <x:v>optimized</x:v>
      </x:c>
      <x:c r="D72" s="2" t="n">
        <x:v>2</x:v>
      </x:c>
      <x:c r="E72" s="9" t="n">
        <x:v>31826378752</x:v>
      </x:c>
      <x:c r="F72" s="10" t="n">
        <x:v>10.0022514</x:v>
      </x:c>
      <x:c r="G72" s="10" t="n">
        <x:f>E72/F72</x:f>
        <x:v>3181921497.3940763</x:v>
      </x:c>
      <x:c r="H72" s="10"/>
      <x:c r="I72" s="2" t="str">
        <x:v>N.Neow:GPU(Dense) → R.Relic:GPU(CompactAbi1) → C.CombatReward:GPU(CompactAbi1)</x:v>
      </x:c>
      <x:c r="J72" s="9" t="n">
        <x:v>33554432</x:v>
      </x:c>
      <x:c r="K72" s="9" t="n">
        <x:v>0</x:v>
      </x:c>
      <x:c r="L72" s="9" t="n">
        <x:v>32</x:v>
      </x:c>
      <x:c r="M72" s="2" t="str">
        <x:v>9KT7EQEZ0000</x:v>
      </x:c>
      <x:c r="N72" s="2" t="n">
        <x:v>4096</x:v>
      </x:c>
    </x:row>
    <x:row r="73" ht="22" customHeight="1">
      <x:c r="A73" s="2" t="str">
        <x:v>resource15-full34-vs-upstream</x:v>
      </x:c>
      <x:c r="B73" s="2" t="str">
        <x:v>P02</x:v>
      </x:c>
      <x:c r="C73" s="2" t="str">
        <x:v>original</x:v>
      </x:c>
      <x:c r="D73" s="2" t="n">
        <x:v>1</x:v>
      </x:c>
      <x:c r="E73" s="9" t="n">
        <x:v>98361344</x:v>
      </x:c>
      <x:c r="F73" s="10" t="n">
        <x:v>10.0003597</x:v>
      </x:c>
      <x:c r="G73" s="10" t="n">
        <x:f>E73/F73</x:f>
        <x:v>9835780.606971567</x:v>
      </x:c>
      <x:c r="H73" s="10"/>
      <x:c r="I73" s="2" t="str">
        <x:v>E.EventResult:GPU(Dense)</x:v>
      </x:c>
      <x:c r="J73" s="9" t="n">
        <x:v>8192</x:v>
      </x:c>
      <x:c r="K73" s="9" t="n">
        <x:v>8192</x:v>
      </x:c>
      <x:c r="L73" s="9" t="n">
        <x:v>32</x:v>
      </x:c>
      <x:c r="M73" s="2" t="str">
        <x:v>9KT7EQEZ0000</x:v>
      </x:c>
      <x:c r="N73" s="2" t="n">
        <x:v>4096</x:v>
      </x:c>
    </x:row>
    <x:row r="74" ht="22" customHeight="1">
      <x:c r="A74" s="2" t="str">
        <x:v>resource15-full34-vs-upstream</x:v>
      </x:c>
      <x:c r="B74" s="2" t="str">
        <x:v>P02</x:v>
      </x:c>
      <x:c r="C74" s="2" t="str">
        <x:v>optimized</x:v>
      </x:c>
      <x:c r="D74" s="2" t="n">
        <x:v>1</x:v>
      </x:c>
      <x:c r="E74" s="9" t="n">
        <x:v>148291584</x:v>
      </x:c>
      <x:c r="F74" s="10" t="n">
        <x:v>10.0009617</x:v>
      </x:c>
      <x:c r="G74" s="10" t="n">
        <x:f>E74/F74</x:f>
        <x:v>14827732.41697346</x:v>
      </x:c>
      <x:c r="H74" s="10"/>
      <x:c r="I74" s="2" t="str">
        <x:v>S.MerchantShopColorless:GPU(Dense)</x:v>
      </x:c>
      <x:c r="J74" s="9" t="n">
        <x:v>8192</x:v>
      </x:c>
      <x:c r="K74" s="9" t="n">
        <x:v>8192</x:v>
      </x:c>
      <x:c r="L74" s="9" t="n">
        <x:v>32</x:v>
      </x:c>
      <x:c r="M74" s="2" t="str">
        <x:v>9KT7EQEZ0000</x:v>
      </x:c>
      <x:c r="N74" s="2" t="n">
        <x:v>4096</x:v>
      </x:c>
    </x:row>
    <x:row r="75" ht="22" customHeight="1">
      <x:c r="A75" s="2" t="str">
        <x:v>resource15-full34-vs-upstream</x:v>
      </x:c>
      <x:c r="B75" s="2" t="str">
        <x:v>P02</x:v>
      </x:c>
      <x:c r="C75" s="2" t="str">
        <x:v>original</x:v>
      </x:c>
      <x:c r="D75" s="2" t="n">
        <x:v>2</x:v>
      </x:c>
      <x:c r="E75" s="9" t="n">
        <x:v>90521600</x:v>
      </x:c>
      <x:c r="F75" s="10" t="n">
        <x:v>10.0006799</x:v>
      </x:c>
      <x:c r="G75" s="10" t="n">
        <x:f>E75/F75</x:f>
        <x:v>9051544.585483633</x:v>
      </x:c>
      <x:c r="H75" s="10"/>
      <x:c r="I75" s="2" t="str">
        <x:v>E.EventResult:GPU(Dense)</x:v>
      </x:c>
      <x:c r="J75" s="9" t="n">
        <x:v>8192</x:v>
      </x:c>
      <x:c r="K75" s="9" t="n">
        <x:v>8192</x:v>
      </x:c>
      <x:c r="L75" s="9" t="n">
        <x:v>32</x:v>
      </x:c>
      <x:c r="M75" s="2" t="str">
        <x:v>9KT7EQEZ0000</x:v>
      </x:c>
      <x:c r="N75" s="2" t="n">
        <x:v>4096</x:v>
      </x:c>
    </x:row>
    <x:row r="76" ht="22" customHeight="1">
      <x:c r="A76" s="2" t="str">
        <x:v>resource15-full34-vs-upstream</x:v>
      </x:c>
      <x:c r="B76" s="2" t="str">
        <x:v>P02</x:v>
      </x:c>
      <x:c r="C76" s="2" t="str">
        <x:v>optimized</x:v>
      </x:c>
      <x:c r="D76" s="2" t="n">
        <x:v>2</x:v>
      </x:c>
      <x:c r="E76" s="9" t="n">
        <x:v>176545792</x:v>
      </x:c>
      <x:c r="F76" s="10" t="n">
        <x:v>10.0002822</x:v>
      </x:c>
      <x:c r="G76" s="10" t="n">
        <x:f>E76/F76</x:f>
        <x:v>17654081.001834128</x:v>
      </x:c>
      <x:c r="H76" s="10"/>
      <x:c r="I76" s="2" t="str">
        <x:v>S.MerchantShopColorless:GPU(Dense)</x:v>
      </x:c>
      <x:c r="J76" s="9" t="n">
        <x:v>8192</x:v>
      </x:c>
      <x:c r="K76" s="9" t="n">
        <x:v>8192</x:v>
      </x:c>
      <x:c r="L76" s="9" t="n">
        <x:v>32</x:v>
      </x:c>
      <x:c r="M76" s="2" t="str">
        <x:v>9KT7EQEZ0000</x:v>
      </x:c>
      <x:c r="N76" s="2" t="n">
        <x:v>4096</x:v>
      </x:c>
    </x:row>
    <x:row r="77" ht="22" customHeight="1">
      <x:c r="A77" s="2" t="str">
        <x:v>resource15-full34-vs-upstream</x:v>
      </x:c>
      <x:c r="B77" s="2" t="str">
        <x:v>P03</x:v>
      </x:c>
      <x:c r="C77" s="2" t="str">
        <x:v>original</x:v>
      </x:c>
      <x:c r="D77" s="2" t="n">
        <x:v>1</x:v>
      </x:c>
      <x:c r="E77" s="9" t="n">
        <x:v>33357824</x:v>
      </x:c>
      <x:c r="F77" s="10" t="n">
        <x:v>10.0035428</x:v>
      </x:c>
      <x:c r="G77" s="10" t="n">
        <x:f>E77/F77</x:f>
        <x:v>3334601.0175515017</x:v>
      </x:c>
      <x:c r="H77" s="10"/>
      <x:c r="I77" s="2" t="str">
        <x:v>N.Neow:GPU(Dense)</x:v>
      </x:c>
      <x:c r="J77" s="9" t="n">
        <x:v>8192</x:v>
      </x:c>
      <x:c r="K77" s="9" t="n">
        <x:v>8192</x:v>
      </x:c>
      <x:c r="L77" s="9" t="n">
        <x:v>32</x:v>
      </x:c>
      <x:c r="M77" s="2" t="str">
        <x:v>9KT7EQEZ0000</x:v>
      </x:c>
      <x:c r="N77" s="2" t="n">
        <x:v>4096</x:v>
      </x:c>
    </x:row>
    <x:row r="78" ht="22" customHeight="1">
      <x:c r="A78" s="2" t="str">
        <x:v>resource15-full34-vs-upstream</x:v>
      </x:c>
      <x:c r="B78" s="2" t="str">
        <x:v>P03</x:v>
      </x:c>
      <x:c r="C78" s="2" t="str">
        <x:v>optimized</x:v>
      </x:c>
      <x:c r="D78" s="2" t="n">
        <x:v>1</x:v>
      </x:c>
      <x:c r="E78" s="9" t="n">
        <x:v>344883200</x:v>
      </x:c>
      <x:c r="F78" s="10" t="n">
        <x:v>10.0000326</x:v>
      </x:c>
      <x:c r="G78" s="10" t="n">
        <x:f>E78/F78</x:f>
        <x:v>34488207.56844332</x:v>
      </x:c>
      <x:c r="H78" s="10"/>
      <x:c r="I78" s="2" t="str">
        <x:v>N.Neow:GPU(Dense)</x:v>
      </x:c>
      <x:c r="J78" s="9" t="n">
        <x:v>8192</x:v>
      </x:c>
      <x:c r="K78" s="9" t="n">
        <x:v>8192</x:v>
      </x:c>
      <x:c r="L78" s="9" t="n">
        <x:v>32</x:v>
      </x:c>
      <x:c r="M78" s="2" t="str">
        <x:v>9KT7EQEZ0000</x:v>
      </x:c>
      <x:c r="N78" s="2" t="n">
        <x:v>4096</x:v>
      </x:c>
    </x:row>
    <x:row r="79" ht="22" customHeight="1">
      <x:c r="A79" s="2" t="str">
        <x:v>resource15-full34-vs-upstream</x:v>
      </x:c>
      <x:c r="B79" s="2" t="str">
        <x:v>P03</x:v>
      </x:c>
      <x:c r="C79" s="2" t="str">
        <x:v>original</x:v>
      </x:c>
      <x:c r="D79" s="2" t="n">
        <x:v>2</x:v>
      </x:c>
      <x:c r="E79" s="9" t="n">
        <x:v>37511168</x:v>
      </x:c>
      <x:c r="F79" s="10" t="n">
        <x:v>10.0035879</x:v>
      </x:c>
      <x:c r="G79" s="10" t="n">
        <x:f>E79/F79</x:f>
        <x:v>3749771.4195123934</x:v>
      </x:c>
      <x:c r="H79" s="10"/>
      <x:c r="I79" s="2" t="str">
        <x:v>N.Neow:GPU(Dense)</x:v>
      </x:c>
      <x:c r="J79" s="9" t="n">
        <x:v>8192</x:v>
      </x:c>
      <x:c r="K79" s="9" t="n">
        <x:v>8192</x:v>
      </x:c>
      <x:c r="L79" s="9" t="n">
        <x:v>32</x:v>
      </x:c>
      <x:c r="M79" s="2" t="str">
        <x:v>9KT7EQEZ0000</x:v>
      </x:c>
      <x:c r="N79" s="2" t="n">
        <x:v>4096</x:v>
      </x:c>
    </x:row>
    <x:row r="80" ht="22" customHeight="1">
      <x:c r="A80" s="2" t="str">
        <x:v>resource15-full34-vs-upstream</x:v>
      </x:c>
      <x:c r="B80" s="2" t="str">
        <x:v>P03</x:v>
      </x:c>
      <x:c r="C80" s="2" t="str">
        <x:v>optimized</x:v>
      </x:c>
      <x:c r="D80" s="2" t="n">
        <x:v>2</x:v>
      </x:c>
      <x:c r="E80" s="9" t="n">
        <x:v>323813376</x:v>
      </x:c>
      <x:c r="F80" s="10" t="n">
        <x:v>10.0001459</x:v>
      </x:c>
      <x:c r="G80" s="10" t="n">
        <x:f>E80/F80</x:f>
        <x:v>32380865.16317727</x:v>
      </x:c>
      <x:c r="H80" s="10"/>
      <x:c r="I80" s="2" t="str">
        <x:v>N.Neow:GPU(Dense)</x:v>
      </x:c>
      <x:c r="J80" s="9" t="n">
        <x:v>8192</x:v>
      </x:c>
      <x:c r="K80" s="9" t="n">
        <x:v>8192</x:v>
      </x:c>
      <x:c r="L80" s="9" t="n">
        <x:v>32</x:v>
      </x:c>
      <x:c r="M80" s="2" t="str">
        <x:v>9KT7EQEZ0000</x:v>
      </x:c>
      <x:c r="N80" s="2" t="n">
        <x:v>4096</x:v>
      </x:c>
    </x:row>
    <x:row r="81" ht="22" customHeight="1">
      <x:c r="A81" s="2" t="str">
        <x:v>resource15-full34-vs-upstream</x:v>
      </x:c>
      <x:c r="B81" s="2" t="str">
        <x:v>RC01</x:v>
      </x:c>
      <x:c r="C81" s="2" t="str">
        <x:v>original</x:v>
      </x:c>
      <x:c r="D81" s="2" t="n">
        <x:v>1</x:v>
      </x:c>
      <x:c r="E81" s="9" t="n">
        <x:v>144804151296</x:v>
      </x:c>
      <x:c r="F81" s="10" t="n">
        <x:v>10.0008284</x:v>
      </x:c>
      <x:c r="G81" s="10" t="n">
        <x:f>E81/F81</x:f>
        <x:v>14479215671.373783</x:v>
      </x:c>
      <x:c r="H81" s="10"/>
      <x:c r="I81" s="2" t="str">
        <x:v>N.Neow:GPU(Dense)</x:v>
      </x:c>
      <x:c r="J81" s="9" t="n">
        <x:v>33554432</x:v>
      </x:c>
      <x:c r="K81" s="9" t="n">
        <x:v>0</x:v>
      </x:c>
      <x:c r="L81" s="9" t="n">
        <x:v>32</x:v>
      </x:c>
      <x:c r="M81" s="2" t="str">
        <x:v>9KT7EQEZ0000</x:v>
      </x:c>
      <x:c r="N81" s="2" t="n">
        <x:v>4096</x:v>
      </x:c>
    </x:row>
    <x:row r="82" ht="22" customHeight="1">
      <x:c r="A82" s="2" t="str">
        <x:v>resource15-full34-vs-upstream</x:v>
      </x:c>
      <x:c r="B82" s="2" t="str">
        <x:v>RC01</x:v>
      </x:c>
      <x:c r="C82" s="2" t="str">
        <x:v>optimized</x:v>
      </x:c>
      <x:c r="D82" s="2" t="n">
        <x:v>1</x:v>
      </x:c>
      <x:c r="E82" s="9" t="n">
        <x:v>331081580544</x:v>
      </x:c>
      <x:c r="F82" s="10" t="n">
        <x:v>10.0008882</x:v>
      </x:c>
      <x:c r="G82" s="10" t="n">
        <x:f>E82/F82</x:f>
        <x:v>33105217648.96842</x:v>
      </x:c>
      <x:c r="H82" s="10"/>
      <x:c r="I82" s="2" t="str">
        <x:v>N.Neow:GPU(Dense)</x:v>
      </x:c>
      <x:c r="J82" s="9" t="n">
        <x:v>33554432</x:v>
      </x:c>
      <x:c r="K82" s="9" t="n">
        <x:v>0</x:v>
      </x:c>
      <x:c r="L82" s="9" t="n">
        <x:v>32</x:v>
      </x:c>
      <x:c r="M82" s="2" t="str">
        <x:v>9KT7EQEZ0000</x:v>
      </x:c>
      <x:c r="N82" s="2" t="n">
        <x:v>4096</x:v>
      </x:c>
    </x:row>
    <x:row r="83" ht="22" customHeight="1">
      <x:c r="A83" s="2" t="str">
        <x:v>resource15-full34-vs-upstream</x:v>
      </x:c>
      <x:c r="B83" s="2" t="str">
        <x:v>RC01</x:v>
      </x:c>
      <x:c r="C83" s="2" t="str">
        <x:v>original</x:v>
      </x:c>
      <x:c r="D83" s="2" t="n">
        <x:v>2</x:v>
      </x:c>
      <x:c r="E83" s="9" t="n">
        <x:v>152689442816</x:v>
      </x:c>
      <x:c r="F83" s="10" t="n">
        <x:v>10.000395</x:v>
      </x:c>
      <x:c r="G83" s="10" t="n">
        <x:f>E83/F83</x:f>
        <x:v>15268341182.123308</x:v>
      </x:c>
      <x:c r="H83" s="10"/>
      <x:c r="I83" s="2" t="str">
        <x:v>N.Neow:GPU(Dense)</x:v>
      </x:c>
      <x:c r="J83" s="9" t="n">
        <x:v>33554432</x:v>
      </x:c>
      <x:c r="K83" s="9" t="n">
        <x:v>0</x:v>
      </x:c>
      <x:c r="L83" s="9" t="n">
        <x:v>32</x:v>
      </x:c>
      <x:c r="M83" s="2" t="str">
        <x:v>9KT7EQEZ0000</x:v>
      </x:c>
      <x:c r="N83" s="2" t="n">
        <x:v>4096</x:v>
      </x:c>
    </x:row>
    <x:row r="84" ht="22" customHeight="1">
      <x:c r="A84" s="2" t="str">
        <x:v>resource15-full34-vs-upstream</x:v>
      </x:c>
      <x:c r="B84" s="2" t="str">
        <x:v>RC01</x:v>
      </x:c>
      <x:c r="C84" s="2" t="str">
        <x:v>optimized</x:v>
      </x:c>
      <x:c r="D84" s="2" t="n">
        <x:v>2</x:v>
      </x:c>
      <x:c r="E84" s="9" t="n">
        <x:v>344436244480</x:v>
      </x:c>
      <x:c r="F84" s="10" t="n">
        <x:v>10.0001537</x:v>
      </x:c>
      <x:c r="G84" s="10" t="n">
        <x:f>E84/F84</x:f>
        <x:v>34443095057.62896</x:v>
      </x:c>
      <x:c r="H84" s="10"/>
      <x:c r="I84" s="2" t="str">
        <x:v>N.Neow:GPU(Dense)</x:v>
      </x:c>
      <x:c r="J84" s="9" t="n">
        <x:v>33554432</x:v>
      </x:c>
      <x:c r="K84" s="9" t="n">
        <x:v>0</x:v>
      </x:c>
      <x:c r="L84" s="9" t="n">
        <x:v>32</x:v>
      </x:c>
      <x:c r="M84" s="2" t="str">
        <x:v>9KT7EQEZ0000</x:v>
      </x:c>
      <x:c r="N84" s="2" t="n">
        <x:v>4096</x:v>
      </x:c>
    </x:row>
    <x:row r="85" ht="22" customHeight="1">
      <x:c r="A85" s="2" t="str">
        <x:v>resource15-full34-vs-upstream</x:v>
      </x:c>
      <x:c r="B85" s="2" t="str">
        <x:v>RC02</x:v>
      </x:c>
      <x:c r="C85" s="2" t="str">
        <x:v>original</x:v>
      </x:c>
      <x:c r="D85" s="2" t="n">
        <x:v>1</x:v>
      </x:c>
      <x:c r="E85" s="9" t="n">
        <x:v>147572391936</x:v>
      </x:c>
      <x:c r="F85" s="10" t="n">
        <x:v>10.0006328</x:v>
      </x:c>
      <x:c r="G85" s="10" t="n">
        <x:f>E85/F85</x:f>
        <x:v>14756305414.593365</x:v>
      </x:c>
      <x:c r="H85" s="10"/>
      <x:c r="I85" s="2" t="str">
        <x:v>N.Neow:GPU(Dense) → R.Relic:GPU(CompactAbi1) → C.CombatReward:GPU(CompactAbi1)</x:v>
      </x:c>
      <x:c r="J85" s="9" t="n">
        <x:v>33554432</x:v>
      </x:c>
      <x:c r="K85" s="9" t="n">
        <x:v>0</x:v>
      </x:c>
      <x:c r="L85" s="9" t="n">
        <x:v>32</x:v>
      </x:c>
      <x:c r="M85" s="2" t="str">
        <x:v>9KT7EQEZ0000</x:v>
      </x:c>
      <x:c r="N85" s="2" t="n">
        <x:v>4096</x:v>
      </x:c>
    </x:row>
    <x:row r="86" ht="22" customHeight="1">
      <x:c r="A86" s="2" t="str">
        <x:v>resource15-full34-vs-upstream</x:v>
      </x:c>
      <x:c r="B86" s="2" t="str">
        <x:v>RC02</x:v>
      </x:c>
      <x:c r="C86" s="2" t="str">
        <x:v>optimized</x:v>
      </x:c>
      <x:c r="D86" s="2" t="n">
        <x:v>1</x:v>
      </x:c>
      <x:c r="E86" s="9" t="n">
        <x:v>279005102080</x:v>
      </x:c>
      <x:c r="F86" s="10" t="n">
        <x:v>10.0001001</x:v>
      </x:c>
      <x:c r="G86" s="10" t="n">
        <x:f>E86/F86</x:f>
        <x:v>27900230926.688427</x:v>
      </x:c>
      <x:c r="H86" s="10"/>
      <x:c r="I86" s="2" t="str">
        <x:v>N.Neow:GPU(Dense) → R.Relic:GPU(CompactAbi1) → C.CombatReward:GPU(CompactAbi1)</x:v>
      </x:c>
      <x:c r="J86" s="9" t="n">
        <x:v>33554432</x:v>
      </x:c>
      <x:c r="K86" s="9" t="n">
        <x:v>0</x:v>
      </x:c>
      <x:c r="L86" s="9" t="n">
        <x:v>32</x:v>
      </x:c>
      <x:c r="M86" s="2" t="str">
        <x:v>9KT7EQEZ0000</x:v>
      </x:c>
      <x:c r="N86" s="2" t="n">
        <x:v>4096</x:v>
      </x:c>
    </x:row>
    <x:row r="87" ht="22" customHeight="1">
      <x:c r="A87" s="2" t="str">
        <x:v>resource15-full34-vs-upstream</x:v>
      </x:c>
      <x:c r="B87" s="2" t="str">
        <x:v>RC02</x:v>
      </x:c>
      <x:c r="C87" s="2" t="str">
        <x:v>original</x:v>
      </x:c>
      <x:c r="D87" s="2" t="n">
        <x:v>2</x:v>
      </x:c>
      <x:c r="E87" s="9" t="n">
        <x:v>156581756928</x:v>
      </x:c>
      <x:c r="F87" s="10" t="n">
        <x:v>10.0018977</x:v>
      </x:c>
      <x:c r="G87" s="10" t="n">
        <x:f>E87/F87</x:f>
        <x:v>15655204804.584232</x:v>
      </x:c>
      <x:c r="H87" s="10"/>
      <x:c r="I87" s="2" t="str">
        <x:v>N.Neow:GPU(Dense) → R.Relic:GPU(CompactAbi1) → C.CombatReward:GPU(CompactAbi1)</x:v>
      </x:c>
      <x:c r="J87" s="9" t="n">
        <x:v>33554432</x:v>
      </x:c>
      <x:c r="K87" s="9" t="n">
        <x:v>0</x:v>
      </x:c>
      <x:c r="L87" s="9" t="n">
        <x:v>32</x:v>
      </x:c>
      <x:c r="M87" s="2" t="str">
        <x:v>9KT7EQEZ0000</x:v>
      </x:c>
      <x:c r="N87" s="2" t="n">
        <x:v>4096</x:v>
      </x:c>
    </x:row>
    <x:row r="88" ht="22" customHeight="1">
      <x:c r="A88" s="2" t="str">
        <x:v>resource15-full34-vs-upstream</x:v>
      </x:c>
      <x:c r="B88" s="2" t="str">
        <x:v>RC02</x:v>
      </x:c>
      <x:c r="C88" s="2" t="str">
        <x:v>optimized</x:v>
      </x:c>
      <x:c r="D88" s="2" t="n">
        <x:v>2</x:v>
      </x:c>
      <x:c r="E88" s="9" t="n">
        <x:v>278065577984</x:v>
      </x:c>
      <x:c r="F88" s="10" t="n">
        <x:v>10.0000638</x:v>
      </x:c>
      <x:c r="G88" s="10" t="n">
        <x:f>E88/F88</x:f>
        <x:v>27806380393.69309</x:v>
      </x:c>
      <x:c r="H88" s="10"/>
      <x:c r="I88" s="2" t="str">
        <x:v>N.Neow:GPU(Dense) → R.Relic:GPU(CompactAbi1) → C.CombatReward:GPU(CompactAbi1)</x:v>
      </x:c>
      <x:c r="J88" s="9" t="n">
        <x:v>33554432</x:v>
      </x:c>
      <x:c r="K88" s="9" t="n">
        <x:v>0</x:v>
      </x:c>
      <x:c r="L88" s="9" t="n">
        <x:v>32</x:v>
      </x:c>
      <x:c r="M88" s="2" t="str">
        <x:v>9KT7EQEZ0000</x:v>
      </x:c>
      <x:c r="N88" s="2" t="n">
        <x:v>4096</x:v>
      </x:c>
    </x:row>
    <x:row r="89" ht="22" customHeight="1">
      <x:c r="A89" s="2" t="str">
        <x:v>resource15-full34-vs-upstream</x:v>
      </x:c>
      <x:c r="B89" s="2" t="str">
        <x:v>RC03</x:v>
      </x:c>
      <x:c r="C89" s="2" t="str">
        <x:v>original</x:v>
      </x:c>
      <x:c r="D89" s="2" t="n">
        <x:v>1</x:v>
      </x:c>
      <x:c r="E89" s="9" t="n">
        <x:v>44258295808</x:v>
      </x:c>
      <x:c r="F89" s="10" t="n">
        <x:v>10.0050016</x:v>
      </x:c>
      <x:c r="G89" s="10" t="n">
        <x:f>E89/F89</x:f>
        <x:v>4423617064.489025</x:v>
      </x:c>
      <x:c r="H89" s="10"/>
      <x:c r="I89" s="2" t="str">
        <x:v>N.Neow:GPU(Dense) → R.Relic:CPU(CompactAbi1)</x:v>
      </x:c>
      <x:c r="J89" s="9" t="n">
        <x:v>33554432</x:v>
      </x:c>
      <x:c r="K89" s="9" t="n">
        <x:v>0</x:v>
      </x:c>
      <x:c r="L89" s="9" t="n">
        <x:v>32</x:v>
      </x:c>
      <x:c r="M89" s="2" t="str">
        <x:v>9KT7EQEZ0000</x:v>
      </x:c>
      <x:c r="N89" s="2" t="n">
        <x:v>4096</x:v>
      </x:c>
    </x:row>
    <x:row r="90" ht="22" customHeight="1">
      <x:c r="A90" s="2" t="str">
        <x:v>resource15-full34-vs-upstream</x:v>
      </x:c>
      <x:c r="B90" s="2" t="str">
        <x:v>RC03</x:v>
      </x:c>
      <x:c r="C90" s="2" t="str">
        <x:v>optimized</x:v>
      </x:c>
      <x:c r="D90" s="2" t="n">
        <x:v>1</x:v>
      </x:c>
      <x:c r="E90" s="9" t="n">
        <x:v>215604002816</x:v>
      </x:c>
      <x:c r="F90" s="10" t="n">
        <x:v>10.000025</x:v>
      </x:c>
      <x:c r="G90" s="10" t="n">
        <x:f>E90/F90</x:f>
        <x:v>21560346380.734047</x:v>
      </x:c>
      <x:c r="H90" s="10"/>
      <x:c r="I90" s="2" t="str">
        <x:v>N.Neow:GPU(Dense) → R.Relic:CPU(CompactAbi1)</x:v>
      </x:c>
      <x:c r="J90" s="9" t="n">
        <x:v>33554432</x:v>
      </x:c>
      <x:c r="K90" s="9" t="n">
        <x:v>0</x:v>
      </x:c>
      <x:c r="L90" s="9" t="n">
        <x:v>32</x:v>
      </x:c>
      <x:c r="M90" s="2" t="str">
        <x:v>9KT7EQEZ0000</x:v>
      </x:c>
      <x:c r="N90" s="2" t="n">
        <x:v>4096</x:v>
      </x:c>
    </x:row>
    <x:row r="91" ht="22" customHeight="1">
      <x:c r="A91" s="2" t="str">
        <x:v>resource15-full34-vs-upstream</x:v>
      </x:c>
      <x:c r="B91" s="2" t="str">
        <x:v>RC03</x:v>
      </x:c>
      <x:c r="C91" s="2" t="str">
        <x:v>original</x:v>
      </x:c>
      <x:c r="D91" s="2" t="n">
        <x:v>2</x:v>
      </x:c>
      <x:c r="E91" s="9" t="n">
        <x:v>45449478144</x:v>
      </x:c>
      <x:c r="F91" s="10" t="n">
        <x:v>10.0028017</x:v>
      </x:c>
      <x:c r="G91" s="10" t="n">
        <x:f>E91/F91</x:f>
        <x:v>4543674813.027635</x:v>
      </x:c>
      <x:c r="H91" s="10"/>
      <x:c r="I91" s="2" t="str">
        <x:v>N.Neow:GPU(Dense) → R.Relic:CPU(CompactAbi1)</x:v>
      </x:c>
      <x:c r="J91" s="9" t="n">
        <x:v>33554432</x:v>
      </x:c>
      <x:c r="K91" s="9" t="n">
        <x:v>0</x:v>
      </x:c>
      <x:c r="L91" s="9" t="n">
        <x:v>32</x:v>
      </x:c>
      <x:c r="M91" s="2" t="str">
        <x:v>9KT7EQEZ0000</x:v>
      </x:c>
      <x:c r="N91" s="2" t="n">
        <x:v>4096</x:v>
      </x:c>
    </x:row>
    <x:row r="92" ht="22" customHeight="1">
      <x:c r="A92" s="2" t="str">
        <x:v>resource15-full34-vs-upstream</x:v>
      </x:c>
      <x:c r="B92" s="2" t="str">
        <x:v>RC03</x:v>
      </x:c>
      <x:c r="C92" s="2" t="str">
        <x:v>optimized</x:v>
      </x:c>
      <x:c r="D92" s="2" t="n">
        <x:v>2</x:v>
      </x:c>
      <x:c r="E92" s="9" t="n">
        <x:v>220721053696</x:v>
      </x:c>
      <x:c r="F92" s="10" t="n">
        <x:v>10.0001617</x:v>
      </x:c>
      <x:c r="G92" s="10" t="n">
        <x:f>E92/F92</x:f>
        <x:v>22071748469.42725</x:v>
      </x:c>
      <x:c r="H92" s="10"/>
      <x:c r="I92" s="2" t="str">
        <x:v>N.Neow:GPU(Dense) → R.Relic:CPU(CompactAbi1)</x:v>
      </x:c>
      <x:c r="J92" s="9" t="n">
        <x:v>33554432</x:v>
      </x:c>
      <x:c r="K92" s="9" t="n">
        <x:v>0</x:v>
      </x:c>
      <x:c r="L92" s="9" t="n">
        <x:v>32</x:v>
      </x:c>
      <x:c r="M92" s="2" t="str">
        <x:v>9KT7EQEZ0000</x:v>
      </x:c>
      <x:c r="N92" s="2" t="n">
        <x:v>4096</x:v>
      </x:c>
    </x:row>
    <x:row r="93" ht="22" customHeight="1">
      <x:c r="A93" s="2" t="str">
        <x:v>resource15-full34-vs-upstream</x:v>
      </x:c>
      <x:c r="B93" s="2" t="str">
        <x:v>RC04</x:v>
      </x:c>
      <x:c r="C93" s="2" t="str">
        <x:v>original</x:v>
      </x:c>
      <x:c r="D93" s="2" t="n">
        <x:v>1</x:v>
      </x:c>
      <x:c r="E93" s="9" t="n">
        <x:v>68484595712</x:v>
      </x:c>
      <x:c r="F93" s="10" t="n">
        <x:v>10.0007203</x:v>
      </x:c>
      <x:c r="G93" s="10" t="n">
        <x:f>E93/F93</x:f>
        <x:v>6847966312.186534</x:v>
      </x:c>
      <x:c r="H93" s="10"/>
      <x:c r="I93" s="2" t="str">
        <x:v>N.Neow:GPU(Dense) → R.Relic:CPU(CompactAbi1) → C.CombatReward:GPU(CompactAbi1)</x:v>
      </x:c>
      <x:c r="J93" s="9" t="n">
        <x:v>33554432</x:v>
      </x:c>
      <x:c r="K93" s="9" t="n">
        <x:v>0</x:v>
      </x:c>
      <x:c r="L93" s="9" t="n">
        <x:v>32</x:v>
      </x:c>
      <x:c r="M93" s="2" t="str">
        <x:v>9KT7EQEZ0000</x:v>
      </x:c>
      <x:c r="N93" s="2" t="n">
        <x:v>4096</x:v>
      </x:c>
    </x:row>
    <x:row r="94" ht="22" customHeight="1">
      <x:c r="A94" s="2" t="str">
        <x:v>resource15-full34-vs-upstream</x:v>
      </x:c>
      <x:c r="B94" s="2" t="str">
        <x:v>RC04</x:v>
      </x:c>
      <x:c r="C94" s="2" t="str">
        <x:v>optimized</x:v>
      </x:c>
      <x:c r="D94" s="2" t="n">
        <x:v>1</x:v>
      </x:c>
      <x:c r="E94" s="9" t="n">
        <x:v>221308256256</x:v>
      </x:c>
      <x:c r="F94" s="10" t="n">
        <x:v>10.0003961</x:v>
      </x:c>
      <x:c r="G94" s="10" t="n">
        <x:f>E94/F94</x:f>
        <x:v>22129949058.317802</x:v>
      </x:c>
      <x:c r="H94" s="10"/>
      <x:c r="I94" s="2" t="str">
        <x:v>N.Neow:GPU(Dense) → R.Relic:CPU(CompactAbi1) → C.CombatReward:GPU(CompactAbi1)</x:v>
      </x:c>
      <x:c r="J94" s="9" t="n">
        <x:v>33554432</x:v>
      </x:c>
      <x:c r="K94" s="9" t="n">
        <x:v>0</x:v>
      </x:c>
      <x:c r="L94" s="9" t="n">
        <x:v>32</x:v>
      </x:c>
      <x:c r="M94" s="2" t="str">
        <x:v>9KT7EQEZ0000</x:v>
      </x:c>
      <x:c r="N94" s="2" t="n">
        <x:v>4096</x:v>
      </x:c>
    </x:row>
    <x:row r="95" ht="22" customHeight="1">
      <x:c r="A95" s="2" t="str">
        <x:v>resource15-full34-vs-upstream</x:v>
      </x:c>
      <x:c r="B95" s="2" t="str">
        <x:v>RC04</x:v>
      </x:c>
      <x:c r="C95" s="2" t="str">
        <x:v>original</x:v>
      </x:c>
      <x:c r="D95" s="2" t="n">
        <x:v>2</x:v>
      </x:c>
      <x:c r="E95" s="9" t="n">
        <x:v>68501372928</x:v>
      </x:c>
      <x:c r="F95" s="10" t="n">
        <x:v>10.0008551</x:v>
      </x:c>
      <x:c r="G95" s="10" t="n">
        <x:f>E95/F95</x:f>
        <x:v>6849551587.64374</x:v>
      </x:c>
      <x:c r="H95" s="10"/>
      <x:c r="I95" s="2" t="str">
        <x:v>N.Neow:GPU(Dense) → R.Relic:CPU(CompactAbi1) → C.CombatReward:GPU(CompactAbi1)</x:v>
      </x:c>
      <x:c r="J95" s="9" t="n">
        <x:v>33554432</x:v>
      </x:c>
      <x:c r="K95" s="9" t="n">
        <x:v>0</x:v>
      </x:c>
      <x:c r="L95" s="9" t="n">
        <x:v>32</x:v>
      </x:c>
      <x:c r="M95" s="2" t="str">
        <x:v>9KT7EQEZ0000</x:v>
      </x:c>
      <x:c r="N95" s="2" t="n">
        <x:v>4096</x:v>
      </x:c>
    </x:row>
    <x:row r="96" ht="22" customHeight="1">
      <x:c r="A96" s="2" t="str">
        <x:v>resource15-full34-vs-upstream</x:v>
      </x:c>
      <x:c r="B96" s="2" t="str">
        <x:v>RC04</x:v>
      </x:c>
      <x:c r="C96" s="2" t="str">
        <x:v>optimized</x:v>
      </x:c>
      <x:c r="D96" s="2" t="n">
        <x:v>2</x:v>
      </x:c>
      <x:c r="E96" s="9" t="n">
        <x:v>216694521856</x:v>
      </x:c>
      <x:c r="F96" s="10" t="n">
        <x:v>10.0002795</x:v>
      </x:c>
      <x:c r="G96" s="10" t="n">
        <x:f>E96/F96</x:f>
        <x:v>21668846541.339172</x:v>
      </x:c>
      <x:c r="H96" s="10"/>
      <x:c r="I96" s="2" t="str">
        <x:v>N.Neow:GPU(Dense) → R.Relic:CPU(CompactAbi1) → C.CombatReward:GPU(CompactAbi1)</x:v>
      </x:c>
      <x:c r="J96" s="9" t="n">
        <x:v>33554432</x:v>
      </x:c>
      <x:c r="K96" s="9" t="n">
        <x:v>0</x:v>
      </x:c>
      <x:c r="L96" s="9" t="n">
        <x:v>32</x:v>
      </x:c>
      <x:c r="M96" s="2" t="str">
        <x:v>9KT7EQEZ0000</x:v>
      </x:c>
      <x:c r="N96" s="2" t="n">
        <x:v>4096</x:v>
      </x:c>
    </x:row>
    <x:row r="97" ht="22" customHeight="1">
      <x:c r="A97" s="2" t="str">
        <x:v>resource15-full34-vs-upstream</x:v>
      </x:c>
      <x:c r="B97" s="2" t="str">
        <x:v>RC05</x:v>
      </x:c>
      <x:c r="C97" s="2" t="str">
        <x:v>original</x:v>
      </x:c>
      <x:c r="D97" s="2" t="n">
        <x:v>1</x:v>
      </x:c>
      <x:c r="E97" s="9" t="n">
        <x:v>5284823040</x:v>
      </x:c>
      <x:c r="F97" s="10" t="n">
        <x:v>10.0035293</x:v>
      </x:c>
      <x:c r="G97" s="10" t="n">
        <x:f>E97/F97</x:f>
        <x:v>528295852.54476136</x:v>
      </x:c>
      <x:c r="H97" s="10"/>
      <x:c r="I97" s="2" t="str">
        <x:v>E.EventResult:GPU(Dense)</x:v>
      </x:c>
      <x:c r="J97" s="9" t="n">
        <x:v>33554432</x:v>
      </x:c>
      <x:c r="K97" s="9" t="n">
        <x:v>0</x:v>
      </x:c>
      <x:c r="L97" s="9" t="n">
        <x:v>32</x:v>
      </x:c>
      <x:c r="M97" s="2" t="str">
        <x:v>9KT7EQEZ0000</x:v>
      </x:c>
      <x:c r="N97" s="2" t="n">
        <x:v>4096</x:v>
      </x:c>
    </x:row>
    <x:row r="98" ht="22" customHeight="1">
      <x:c r="A98" s="2" t="str">
        <x:v>resource15-full34-vs-upstream</x:v>
      </x:c>
      <x:c r="B98" s="2" t="str">
        <x:v>RC05</x:v>
      </x:c>
      <x:c r="C98" s="2" t="str">
        <x:v>optimized</x:v>
      </x:c>
      <x:c r="D98" s="2" t="n">
        <x:v>1</x:v>
      </x:c>
      <x:c r="E98" s="9" t="n">
        <x:v>43520098304</x:v>
      </x:c>
      <x:c r="F98" s="10" t="n">
        <x:v>10.0162219</x:v>
      </x:c>
      <x:c r="G98" s="10" t="n">
        <x:f>E98/F98</x:f>
        <x:v>4344961477.341072</x:v>
      </x:c>
      <x:c r="H98" s="10"/>
      <x:c r="I98" s="2" t="str">
        <x:v>S.MerchantShopColorless:GPU(Dense)</x:v>
      </x:c>
      <x:c r="J98" s="9" t="n">
        <x:v>33554432</x:v>
      </x:c>
      <x:c r="K98" s="9" t="n">
        <x:v>0</x:v>
      </x:c>
      <x:c r="L98" s="9" t="n">
        <x:v>32</x:v>
      </x:c>
      <x:c r="M98" s="2" t="str">
        <x:v>9KT7EQEZ0000</x:v>
      </x:c>
      <x:c r="N98" s="2" t="n">
        <x:v>4096</x:v>
      </x:c>
    </x:row>
    <x:row r="99" ht="22" customHeight="1">
      <x:c r="A99" s="2" t="str">
        <x:v>resource15-full34-vs-upstream</x:v>
      </x:c>
      <x:c r="B99" s="2" t="str">
        <x:v>RC05</x:v>
      </x:c>
      <x:c r="C99" s="2" t="str">
        <x:v>original</x:v>
      </x:c>
      <x:c r="D99" s="2" t="n">
        <x:v>2</x:v>
      </x:c>
      <x:c r="E99" s="9" t="n">
        <x:v>6291456000</x:v>
      </x:c>
      <x:c r="F99" s="10" t="n">
        <x:v>10.0234956</x:v>
      </x:c>
      <x:c r="G99" s="10" t="n">
        <x:f>E99/F99</x:f>
        <x:v>627670849.6784295</x:v>
      </x:c>
      <x:c r="H99" s="10"/>
      <x:c r="I99" s="2" t="str">
        <x:v>E.EventResult:GPU(Dense)</x:v>
      </x:c>
      <x:c r="J99" s="9" t="n">
        <x:v>33554432</x:v>
      </x:c>
      <x:c r="K99" s="9" t="n">
        <x:v>0</x:v>
      </x:c>
      <x:c r="L99" s="9" t="n">
        <x:v>32</x:v>
      </x:c>
      <x:c r="M99" s="2" t="str">
        <x:v>9KT7EQEZ0000</x:v>
      </x:c>
      <x:c r="N99" s="2" t="n">
        <x:v>4096</x:v>
      </x:c>
    </x:row>
    <x:row r="100" ht="22" customHeight="1">
      <x:c r="A100" s="2" t="str">
        <x:v>resource15-full34-vs-upstream</x:v>
      </x:c>
      <x:c r="B100" s="2" t="str">
        <x:v>RC05</x:v>
      </x:c>
      <x:c r="C100" s="2" t="str">
        <x:v>optimized</x:v>
      </x:c>
      <x:c r="D100" s="2" t="n">
        <x:v>2</x:v>
      </x:c>
      <x:c r="E100" s="9" t="n">
        <x:v>49895440384</x:v>
      </x:c>
      <x:c r="F100" s="10" t="n">
        <x:v>10.0001786</x:v>
      </x:c>
      <x:c r="G100" s="10" t="n">
        <x:f>E100/F100</x:f>
        <x:v>4989454926.735008</x:v>
      </x:c>
      <x:c r="H100" s="10"/>
      <x:c r="I100" s="2" t="str">
        <x:v>S.MerchantShopColorless:GPU(Dense)</x:v>
      </x:c>
      <x:c r="J100" s="9" t="n">
        <x:v>33554432</x:v>
      </x:c>
      <x:c r="K100" s="9" t="n">
        <x:v>0</x:v>
      </x:c>
      <x:c r="L100" s="9" t="n">
        <x:v>32</x:v>
      </x:c>
      <x:c r="M100" s="2" t="str">
        <x:v>9KT7EQEZ0000</x:v>
      </x:c>
      <x:c r="N100" s="2" t="n">
        <x:v>4096</x:v>
      </x:c>
    </x:row>
    <x:row r="101" ht="22" customHeight="1">
      <x:c r="A101" s="2" t="str">
        <x:v>resource15-full34-vs-upstream</x:v>
      </x:c>
      <x:c r="B101" s="2" t="str">
        <x:v>RC06</x:v>
      </x:c>
      <x:c r="C101" s="2" t="str">
        <x:v>original</x:v>
      </x:c>
      <x:c r="D101" s="2" t="n">
        <x:v>1</x:v>
      </x:c>
      <x:c r="E101" s="9" t="n">
        <x:v>12348030976</x:v>
      </x:c>
      <x:c r="F101" s="10" t="n">
        <x:v>10.0020604</x:v>
      </x:c>
      <x:c r="G101" s="10" t="n">
        <x:f>E101/F101</x:f>
        <x:v>1234548731.1794279</x:v>
      </x:c>
      <x:c r="H101" s="10"/>
      <x:c r="I101" s="2" t="str">
        <x:v>E.EventResult:GPU(Dense)</x:v>
      </x:c>
      <x:c r="J101" s="9" t="n">
        <x:v>33554432</x:v>
      </x:c>
      <x:c r="K101" s="9" t="n">
        <x:v>0</x:v>
      </x:c>
      <x:c r="L101" s="9" t="n">
        <x:v>32</x:v>
      </x:c>
      <x:c r="M101" s="2" t="str">
        <x:v>9KT7EQEZ0000</x:v>
      </x:c>
      <x:c r="N101" s="2" t="n">
        <x:v>4096</x:v>
      </x:c>
    </x:row>
    <x:row r="102" ht="22" customHeight="1">
      <x:c r="A102" s="2" t="str">
        <x:v>resource15-full34-vs-upstream</x:v>
      </x:c>
      <x:c r="B102" s="2" t="str">
        <x:v>RC06</x:v>
      </x:c>
      <x:c r="C102" s="2" t="str">
        <x:v>optimized</x:v>
      </x:c>
      <x:c r="D102" s="2" t="n">
        <x:v>1</x:v>
      </x:c>
      <x:c r="E102" s="9" t="n">
        <x:v>71789707264</x:v>
      </x:c>
      <x:c r="F102" s="10" t="n">
        <x:v>10.0016441</x:v>
      </x:c>
      <x:c r="G102" s="10" t="n">
        <x:f>E102/F102</x:f>
        <x:v>7177790625.843205</x:v>
      </x:c>
      <x:c r="H102" s="10"/>
      <x:c r="I102" s="2" t="str">
        <x:v>S.MerchantShopColorless:GPU(Dense)</x:v>
      </x:c>
      <x:c r="J102" s="9" t="n">
        <x:v>33554432</x:v>
      </x:c>
      <x:c r="K102" s="9" t="n">
        <x:v>0</x:v>
      </x:c>
      <x:c r="L102" s="9" t="n">
        <x:v>32</x:v>
      </x:c>
      <x:c r="M102" s="2" t="str">
        <x:v>9KT7EQEZ0000</x:v>
      </x:c>
      <x:c r="N102" s="2" t="n">
        <x:v>4096</x:v>
      </x:c>
    </x:row>
    <x:row r="103" ht="22" customHeight="1">
      <x:c r="A103" s="2" t="str">
        <x:v>resource15-full34-vs-upstream</x:v>
      </x:c>
      <x:c r="B103" s="2" t="str">
        <x:v>RC06</x:v>
      </x:c>
      <x:c r="C103" s="2" t="str">
        <x:v>original</x:v>
      </x:c>
      <x:c r="D103" s="2" t="n">
        <x:v>2</x:v>
      </x:c>
      <x:c r="E103" s="9" t="n">
        <x:v>13069451264</x:v>
      </x:c>
      <x:c r="F103" s="10" t="n">
        <x:v>10.0093493</x:v>
      </x:c>
      <x:c r="G103" s="10" t="n">
        <x:f>E103/F103</x:f>
        <x:v>1305724365.5189455</x:v>
      </x:c>
      <x:c r="H103" s="10"/>
      <x:c r="I103" s="2" t="str">
        <x:v>E.EventResult:GPU(Dense)</x:v>
      </x:c>
      <x:c r="J103" s="9" t="n">
        <x:v>33554432</x:v>
      </x:c>
      <x:c r="K103" s="9" t="n">
        <x:v>0</x:v>
      </x:c>
      <x:c r="L103" s="9" t="n">
        <x:v>32</x:v>
      </x:c>
      <x:c r="M103" s="2" t="str">
        <x:v>9KT7EQEZ0000</x:v>
      </x:c>
      <x:c r="N103" s="2" t="n">
        <x:v>4096</x:v>
      </x:c>
    </x:row>
    <x:row r="104" ht="22" customHeight="1">
      <x:c r="A104" s="2" t="str">
        <x:v>resource15-full34-vs-upstream</x:v>
      </x:c>
      <x:c r="B104" s="2" t="str">
        <x:v>RC06</x:v>
      </x:c>
      <x:c r="C104" s="2" t="str">
        <x:v>optimized</x:v>
      </x:c>
      <x:c r="D104" s="2" t="n">
        <x:v>2</x:v>
      </x:c>
      <x:c r="E104" s="9" t="n">
        <x:v>69239570432</x:v>
      </x:c>
      <x:c r="F104" s="10" t="n">
        <x:v>10.0007833</x:v>
      </x:c>
      <x:c r="G104" s="10" t="n">
        <x:f>E104/F104</x:f>
        <x:v>6923414732.124033</x:v>
      </x:c>
      <x:c r="H104" s="10"/>
      <x:c r="I104" s="2" t="str">
        <x:v>S.MerchantShopColorless:GPU(Dense)</x:v>
      </x:c>
      <x:c r="J104" s="9" t="n">
        <x:v>33554432</x:v>
      </x:c>
      <x:c r="K104" s="9" t="n">
        <x:v>0</x:v>
      </x:c>
      <x:c r="L104" s="9" t="n">
        <x:v>32</x:v>
      </x:c>
      <x:c r="M104" s="2" t="str">
        <x:v>9KT7EQEZ0000</x:v>
      </x:c>
      <x:c r="N104" s="2" t="n">
        <x:v>4096</x:v>
      </x:c>
    </x:row>
    <x:row r="105" ht="22" customHeight="1">
      <x:c r="A105" s="2" t="str">
        <x:v>resource15-full34-vs-upstream</x:v>
      </x:c>
      <x:c r="B105" s="2" t="str">
        <x:v>RC07</x:v>
      </x:c>
      <x:c r="C105" s="2" t="str">
        <x:v>original</x:v>
      </x:c>
      <x:c r="D105" s="2" t="n">
        <x:v>1</x:v>
      </x:c>
      <x:c r="E105" s="9" t="n">
        <x:v>11995709440</x:v>
      </x:c>
      <x:c r="F105" s="10" t="n">
        <x:v>10.0000852</x:v>
      </x:c>
      <x:c r="G105" s="10" t="n">
        <x:f>E105/F105</x:f>
        <x:v>1199560723.7426338</x:v>
      </x:c>
      <x:c r="H105" s="10"/>
      <x:c r="I105" s="2" t="str">
        <x:v>E.EventResult:GPU(Dense)</x:v>
      </x:c>
      <x:c r="J105" s="9" t="n">
        <x:v>33554432</x:v>
      </x:c>
      <x:c r="K105" s="9" t="n">
        <x:v>0</x:v>
      </x:c>
      <x:c r="L105" s="9" t="n">
        <x:v>32</x:v>
      </x:c>
      <x:c r="M105" s="2" t="str">
        <x:v>9KT7EQEZ0000</x:v>
      </x:c>
      <x:c r="N105" s="2" t="n">
        <x:v>4096</x:v>
      </x:c>
    </x:row>
    <x:row r="106" ht="22" customHeight="1">
      <x:c r="A106" s="2" t="str">
        <x:v>resource15-full34-vs-upstream</x:v>
      </x:c>
      <x:c r="B106" s="2" t="str">
        <x:v>RC07</x:v>
      </x:c>
      <x:c r="C106" s="2" t="str">
        <x:v>optimized</x:v>
      </x:c>
      <x:c r="D106" s="2" t="n">
        <x:v>1</x:v>
      </x:c>
      <x:c r="E106" s="9" t="n">
        <x:v>66907537408</x:v>
      </x:c>
      <x:c r="F106" s="10" t="n">
        <x:v>10.0016986</x:v>
      </x:c>
      <x:c r="G106" s="10" t="n">
        <x:f>E106/F106</x:f>
        <x:v>6689617442.381238</x:v>
      </x:c>
      <x:c r="H106" s="10"/>
      <x:c r="I106" s="2" t="str">
        <x:v>S.MerchantShopColorless:GPU(Dense)</x:v>
      </x:c>
      <x:c r="J106" s="9" t="n">
        <x:v>33554432</x:v>
      </x:c>
      <x:c r="K106" s="9" t="n">
        <x:v>0</x:v>
      </x:c>
      <x:c r="L106" s="9" t="n">
        <x:v>32</x:v>
      </x:c>
      <x:c r="M106" s="2" t="str">
        <x:v>9KT7EQEZ0000</x:v>
      </x:c>
      <x:c r="N106" s="2" t="n">
        <x:v>4096</x:v>
      </x:c>
    </x:row>
    <x:row r="107" ht="22" customHeight="1">
      <x:c r="A107" s="2" t="str">
        <x:v>resource15-full34-vs-upstream</x:v>
      </x:c>
      <x:c r="B107" s="2" t="str">
        <x:v>RC07</x:v>
      </x:c>
      <x:c r="C107" s="2" t="str">
        <x:v>original</x:v>
      </x:c>
      <x:c r="D107" s="2" t="n">
        <x:v>2</x:v>
      </x:c>
      <x:c r="E107" s="9" t="n">
        <x:v>12868124672</x:v>
      </x:c>
      <x:c r="F107" s="10" t="n">
        <x:v>10.0105592</x:v>
      </x:c>
      <x:c r="G107" s="10" t="n">
        <x:f>E107/F107</x:f>
        <x:v>1285455129.419743</x:v>
      </x:c>
      <x:c r="H107" s="10"/>
      <x:c r="I107" s="2" t="str">
        <x:v>E.EventResult:GPU(Dense)</x:v>
      </x:c>
      <x:c r="J107" s="9" t="n">
        <x:v>33554432</x:v>
      </x:c>
      <x:c r="K107" s="9" t="n">
        <x:v>0</x:v>
      </x:c>
      <x:c r="L107" s="9" t="n">
        <x:v>32</x:v>
      </x:c>
      <x:c r="M107" s="2" t="str">
        <x:v>9KT7EQEZ0000</x:v>
      </x:c>
      <x:c r="N107" s="2" t="n">
        <x:v>4096</x:v>
      </x:c>
    </x:row>
    <x:row r="108" ht="22" customHeight="1">
      <x:c r="A108" s="2" t="str">
        <x:v>resource15-full34-vs-upstream</x:v>
      </x:c>
      <x:c r="B108" s="2" t="str">
        <x:v>RC07</x:v>
      </x:c>
      <x:c r="C108" s="2" t="str">
        <x:v>optimized</x:v>
      </x:c>
      <x:c r="D108" s="2" t="n">
        <x:v>2</x:v>
      </x:c>
      <x:c r="E108" s="9" t="n">
        <x:v>67360522240</x:v>
      </x:c>
      <x:c r="F108" s="10" t="n">
        <x:v>10.0003909</x:v>
      </x:c>
      <x:c r="G108" s="10" t="n">
        <x:f>E108/F108</x:f>
        <x:v>6735788922.011039</x:v>
      </x:c>
      <x:c r="H108" s="10"/>
      <x:c r="I108" s="2" t="str">
        <x:v>S.MerchantShopColorless:GPU(Dense)</x:v>
      </x:c>
      <x:c r="J108" s="9" t="n">
        <x:v>33554432</x:v>
      </x:c>
      <x:c r="K108" s="9" t="n">
        <x:v>0</x:v>
      </x:c>
      <x:c r="L108" s="9" t="n">
        <x:v>32</x:v>
      </x:c>
      <x:c r="M108" s="2" t="str">
        <x:v>9KT7EQEZ0000</x:v>
      </x:c>
      <x:c r="N108" s="2" t="n">
        <x:v>4096</x:v>
      </x:c>
    </x:row>
    <x:row r="109" ht="22" customHeight="1">
      <x:c r="A109" s="2" t="str">
        <x:v>resource15-full34-vs-upstream</x:v>
      </x:c>
      <x:c r="B109" s="2" t="str">
        <x:v>RC08</x:v>
      </x:c>
      <x:c r="C109" s="2" t="str">
        <x:v>original</x:v>
      </x:c>
      <x:c r="D109" s="2" t="n">
        <x:v>1</x:v>
      </x:c>
      <x:c r="E109" s="9" t="n">
        <x:v>11744051200</x:v>
      </x:c>
      <x:c r="F109" s="10" t="n">
        <x:v>10.008454</x:v>
      </x:c>
      <x:c r="G109" s="10" t="n">
        <x:f>E109/F109</x:f>
        <x:v>1173413116.5512676</x:v>
      </x:c>
      <x:c r="H109" s="10"/>
      <x:c r="I109" s="2" t="str">
        <x:v>E.EventResult:GPU(Dense)</x:v>
      </x:c>
      <x:c r="J109" s="9" t="n">
        <x:v>33554432</x:v>
      </x:c>
      <x:c r="K109" s="9" t="n">
        <x:v>0</x:v>
      </x:c>
      <x:c r="L109" s="9" t="n">
        <x:v>32</x:v>
      </x:c>
      <x:c r="M109" s="2" t="str">
        <x:v>9KT7EQEZ0000</x:v>
      </x:c>
      <x:c r="N109" s="2" t="n">
        <x:v>4096</x:v>
      </x:c>
    </x:row>
    <x:row r="110" ht="22" customHeight="1">
      <x:c r="A110" s="2" t="str">
        <x:v>resource15-full34-vs-upstream</x:v>
      </x:c>
      <x:c r="B110" s="2" t="str">
        <x:v>RC08</x:v>
      </x:c>
      <x:c r="C110" s="2" t="str">
        <x:v>optimized</x:v>
      </x:c>
      <x:c r="D110" s="2" t="n">
        <x:v>1</x:v>
      </x:c>
      <x:c r="E110" s="9" t="n">
        <x:v>70212648960</x:v>
      </x:c>
      <x:c r="F110" s="10" t="n">
        <x:v>10.0003124</x:v>
      </x:c>
      <x:c r="G110" s="10" t="n">
        <x:f>E110/F110</x:f>
        <x:v>7021045558.536751</x:v>
      </x:c>
      <x:c r="H110" s="10"/>
      <x:c r="I110" s="2" t="str">
        <x:v>S.MerchantShopColorless:GPU(Dense)</x:v>
      </x:c>
      <x:c r="J110" s="9" t="n">
        <x:v>33554432</x:v>
      </x:c>
      <x:c r="K110" s="9" t="n">
        <x:v>0</x:v>
      </x:c>
      <x:c r="L110" s="9" t="n">
        <x:v>32</x:v>
      </x:c>
      <x:c r="M110" s="2" t="str">
        <x:v>9KT7EQEZ0000</x:v>
      </x:c>
      <x:c r="N110" s="2" t="n">
        <x:v>4096</x:v>
      </x:c>
    </x:row>
    <x:row r="111" ht="22" customHeight="1">
      <x:c r="A111" s="2" t="str">
        <x:v>resource15-full34-vs-upstream</x:v>
      </x:c>
      <x:c r="B111" s="2" t="str">
        <x:v>RC08</x:v>
      </x:c>
      <x:c r="C111" s="2" t="str">
        <x:v>original</x:v>
      </x:c>
      <x:c r="D111" s="2" t="n">
        <x:v>2</x:v>
      </x:c>
      <x:c r="E111" s="9" t="n">
        <x:v>12415139840</x:v>
      </x:c>
      <x:c r="F111" s="10" t="n">
        <x:v>10.0048711</x:v>
      </x:c>
      <x:c r="G111" s="10" t="n">
        <x:f>E111/F111</x:f>
        <x:v>1240909524.5614908</x:v>
      </x:c>
      <x:c r="H111" s="10"/>
      <x:c r="I111" s="2" t="str">
        <x:v>E.EventResult:GPU(Dense)</x:v>
      </x:c>
      <x:c r="J111" s="9" t="n">
        <x:v>33554432</x:v>
      </x:c>
      <x:c r="K111" s="9" t="n">
        <x:v>0</x:v>
      </x:c>
      <x:c r="L111" s="9" t="n">
        <x:v>32</x:v>
      </x:c>
      <x:c r="M111" s="2" t="str">
        <x:v>9KT7EQEZ0000</x:v>
      </x:c>
      <x:c r="N111" s="2" t="n">
        <x:v>4096</x:v>
      </x:c>
    </x:row>
    <x:row r="112" ht="22" customHeight="1">
      <x:c r="A112" s="2" t="str">
        <x:v>resource15-full34-vs-upstream</x:v>
      </x:c>
      <x:c r="B112" s="2" t="str">
        <x:v>RC08</x:v>
      </x:c>
      <x:c r="C112" s="2" t="str">
        <x:v>optimized</x:v>
      </x:c>
      <x:c r="D112" s="2" t="n">
        <x:v>2</x:v>
      </x:c>
      <x:c r="E112" s="9" t="n">
        <x:v>68048388096</x:v>
      </x:c>
      <x:c r="F112" s="10" t="n">
        <x:v>10.0003726</x:v>
      </x:c>
      <x:c r="G112" s="10" t="n">
        <x:f>E112/F112</x:f>
        <x:v>6804585270.752811</x:v>
      </x:c>
      <x:c r="H112" s="10"/>
      <x:c r="I112" s="2" t="str">
        <x:v>S.MerchantShopColorless:GPU(Dense)</x:v>
      </x:c>
      <x:c r="J112" s="9" t="n">
        <x:v>33554432</x:v>
      </x:c>
      <x:c r="K112" s="9" t="n">
        <x:v>0</x:v>
      </x:c>
      <x:c r="L112" s="9" t="n">
        <x:v>32</x:v>
      </x:c>
      <x:c r="M112" s="2" t="str">
        <x:v>9KT7EQEZ0000</x:v>
      </x:c>
      <x:c r="N112" s="2" t="n">
        <x:v>4096</x:v>
      </x:c>
    </x:row>
    <x:row r="113" ht="22" customHeight="1">
      <x:c r="A113" s="2" t="str">
        <x:v>resource15-full34-vs-upstream</x:v>
      </x:c>
      <x:c r="B113" s="2" t="str">
        <x:v>K01</x:v>
      </x:c>
      <x:c r="C113" s="2" t="str">
        <x:v>original</x:v>
      </x:c>
      <x:c r="D113" s="2" t="n">
        <x:v>1</x:v>
      </x:c>
      <x:c r="E113" s="9" t="n">
        <x:v>124956704768</x:v>
      </x:c>
      <x:c r="F113" s="10" t="n">
        <x:v>10.0004305</x:v>
      </x:c>
      <x:c r="G113" s="10" t="n">
        <x:f>E113/F113</x:f>
        <x:v>12495132561.343233</x:v>
      </x:c>
      <x:c r="H113" s="10"/>
      <x:c r="I113" s="2" t="str">
        <x:v>N.Neow:GPU(Dense) → R.Relic:CPU(CompactAbi1) → C.CombatReward:GPU(CompactAbi1)</x:v>
      </x:c>
      <x:c r="J113" s="9" t="n">
        <x:v>67108864</x:v>
      </x:c>
      <x:c r="K113" s="9" t="n">
        <x:v>0</x:v>
      </x:c>
      <x:c r="L113" s="9" t="n">
        <x:v>32</x:v>
      </x:c>
      <x:c r="M113" s="2" t="str">
        <x:v>9KT7EQEZ0000</x:v>
      </x:c>
      <x:c r="N113" s="2" t="n">
        <x:v>4096</x:v>
      </x:c>
    </x:row>
    <x:row r="114" ht="22" customHeight="1">
      <x:c r="A114" s="2" t="str">
        <x:v>resource15-full34-vs-upstream</x:v>
      </x:c>
      <x:c r="B114" s="2" t="str">
        <x:v>K01</x:v>
      </x:c>
      <x:c r="C114" s="2" t="str">
        <x:v>optimized</x:v>
      </x:c>
      <x:c r="D114" s="2" t="n">
        <x:v>1</x:v>
      </x:c>
      <x:c r="E114" s="9" t="n">
        <x:v>229428428800</x:v>
      </x:c>
      <x:c r="F114" s="10" t="n">
        <x:v>10.0000614</x:v>
      </x:c>
      <x:c r="G114" s="10" t="n">
        <x:f>E114/F114</x:f>
        <x:v>22942702011.809647</x:v>
      </x:c>
      <x:c r="H114" s="10"/>
      <x:c r="I114" s="2" t="str">
        <x:v>N.Neow:GPU(Dense) → R.Relic:CPU(CompactAbi1) → C.CombatReward:GPU(CompactAbi1)</x:v>
      </x:c>
      <x:c r="J114" s="9" t="n">
        <x:v>67108864</x:v>
      </x:c>
      <x:c r="K114" s="9" t="n">
        <x:v>0</x:v>
      </x:c>
      <x:c r="L114" s="9" t="n">
        <x:v>32</x:v>
      </x:c>
      <x:c r="M114" s="2" t="str">
        <x:v>9KT7EQEZ0000</x:v>
      </x:c>
      <x:c r="N114" s="2" t="n">
        <x:v>4096</x:v>
      </x:c>
    </x:row>
    <x:row r="115" ht="22" customHeight="1">
      <x:c r="A115" s="2" t="str">
        <x:v>resource15-full34-vs-upstream</x:v>
      </x:c>
      <x:c r="B115" s="2" t="str">
        <x:v>K01</x:v>
      </x:c>
      <x:c r="C115" s="2" t="str">
        <x:v>original</x:v>
      </x:c>
      <x:c r="D115" s="2" t="n">
        <x:v>2</x:v>
      </x:c>
      <x:c r="E115" s="9" t="n">
        <x:v>126030446592</x:v>
      </x:c>
      <x:c r="F115" s="10" t="n">
        <x:v>10.0003396</x:v>
      </x:c>
      <x:c r="G115" s="10" t="n">
        <x:f>E115/F115</x:f>
        <x:v>12602616674.33774</x:v>
      </x:c>
      <x:c r="H115" s="10"/>
      <x:c r="I115" s="2" t="str">
        <x:v>N.Neow:GPU(Dense) → R.Relic:CPU(CompactAbi1) → C.CombatReward:GPU(CompactAbi1)</x:v>
      </x:c>
      <x:c r="J115" s="9" t="n">
        <x:v>67108864</x:v>
      </x:c>
      <x:c r="K115" s="9" t="n">
        <x:v>0</x:v>
      </x:c>
      <x:c r="L115" s="9" t="n">
        <x:v>32</x:v>
      </x:c>
      <x:c r="M115" s="2" t="str">
        <x:v>9KT7EQEZ0000</x:v>
      </x:c>
      <x:c r="N115" s="2" t="n">
        <x:v>4096</x:v>
      </x:c>
    </x:row>
    <x:row r="116" ht="22" customHeight="1">
      <x:c r="A116" s="2" t="str">
        <x:v>resource15-full34-vs-upstream</x:v>
      </x:c>
      <x:c r="B116" s="2" t="str">
        <x:v>K01</x:v>
      </x:c>
      <x:c r="C116" s="2" t="str">
        <x:v>optimized</x:v>
      </x:c>
      <x:c r="D116" s="2" t="n">
        <x:v>2</x:v>
      </x:c>
      <x:c r="E116" s="9" t="n">
        <x:v>227230613504</x:v>
      </x:c>
      <x:c r="F116" s="10" t="n">
        <x:v>10.0066601</x:v>
      </x:c>
      <x:c r="G116" s="10" t="n">
        <x:f>E116/F116</x:f>
        <x:v>22707937636.85448</x:v>
      </x:c>
      <x:c r="H116" s="10"/>
      <x:c r="I116" s="2" t="str">
        <x:v>N.Neow:GPU(Dense) → R.Relic:CPU(CompactAbi1) → C.CombatReward:GPU(CompactAbi1)</x:v>
      </x:c>
      <x:c r="J116" s="9" t="n">
        <x:v>67108864</x:v>
      </x:c>
      <x:c r="K116" s="9" t="n">
        <x:v>0</x:v>
      </x:c>
      <x:c r="L116" s="9" t="n">
        <x:v>32</x:v>
      </x:c>
      <x:c r="M116" s="2" t="str">
        <x:v>9KT7EQEZ0000</x:v>
      </x:c>
      <x:c r="N116" s="2" t="n">
        <x:v>4096</x:v>
      </x:c>
    </x:row>
    <x:row r="117" ht="22" customHeight="1">
      <x:c r="A117" s="2" t="str">
        <x:v>resource15-full34-vs-upstream</x:v>
      </x:c>
      <x:c r="B117" s="2" t="str">
        <x:v>B01</x:v>
      </x:c>
      <x:c r="C117" s="2" t="str">
        <x:v>original</x:v>
      </x:c>
      <x:c r="D117" s="2" t="n">
        <x:v>1</x:v>
      </x:c>
      <x:c r="E117" s="9" t="n">
        <x:v>11026432</x:v>
      </x:c>
      <x:c r="F117" s="10" t="n">
        <x:v>10.0015012</x:v>
      </x:c>
      <x:c r="G117" s="10" t="n">
        <x:f>E117/F117</x:f>
        <x:v>1102477.6960482693</x:v>
      </x:c>
      <x:c r="H117" s="10"/>
      <x:c r="I117" s="2" t="str">
        <x:v>N.Neow:GPU(Dense) → E.EventResult:GPU(CompactAbi1)</x:v>
      </x:c>
      <x:c r="J117" s="9" t="n">
        <x:v>8192</x:v>
      </x:c>
      <x:c r="K117" s="9" t="n">
        <x:v>8192</x:v>
      </x:c>
      <x:c r="L117" s="9" t="n">
        <x:v>32</x:v>
      </x:c>
      <x:c r="M117" s="2" t="str">
        <x:v>9KT7EQEZ0000</x:v>
      </x:c>
      <x:c r="N117" s="2" t="n">
        <x:v>4096</x:v>
      </x:c>
    </x:row>
    <x:row r="118" ht="22" customHeight="1">
      <x:c r="A118" s="2" t="str">
        <x:v>resource15-full34-vs-upstream</x:v>
      </x:c>
      <x:c r="B118" s="2" t="str">
        <x:v>B01</x:v>
      </x:c>
      <x:c r="C118" s="2" t="str">
        <x:v>optimized</x:v>
      </x:c>
      <x:c r="D118" s="2" t="n">
        <x:v>1</x:v>
      </x:c>
      <x:c r="E118" s="9" t="n">
        <x:v>22396928</x:v>
      </x:c>
      <x:c r="F118" s="10" t="n">
        <x:v>10.0000778</x:v>
      </x:c>
      <x:c r="G118" s="10" t="n">
        <x:f>E118/F118</x:f>
        <x:v>2239675.37532558</x:v>
      </x:c>
      <x:c r="H118" s="10"/>
      <x:c r="I118" s="2" t="str">
        <x:v>N.Neow:GPU(Dense) → E.EventResult:GPU(CompactAbi1)</x:v>
      </x:c>
      <x:c r="J118" s="9" t="n">
        <x:v>8192</x:v>
      </x:c>
      <x:c r="K118" s="9" t="n">
        <x:v>8192</x:v>
      </x:c>
      <x:c r="L118" s="9" t="n">
        <x:v>32</x:v>
      </x:c>
      <x:c r="M118" s="2" t="str">
        <x:v>9KT7EQEZ0000</x:v>
      </x:c>
      <x:c r="N118" s="2" t="n">
        <x:v>4096</x:v>
      </x:c>
    </x:row>
    <x:row r="119" ht="22" customHeight="1">
      <x:c r="A119" s="2" t="str">
        <x:v>resource15-full34-vs-upstream</x:v>
      </x:c>
      <x:c r="B119" s="2" t="str">
        <x:v>B01</x:v>
      </x:c>
      <x:c r="C119" s="2" t="str">
        <x:v>original</x:v>
      </x:c>
      <x:c r="D119" s="2" t="n">
        <x:v>2</x:v>
      </x:c>
      <x:c r="E119" s="9" t="n">
        <x:v>11034624</x:v>
      </x:c>
      <x:c r="F119" s="10" t="n">
        <x:v>10.0068631</x:v>
      </x:c>
      <x:c r="G119" s="10" t="n">
        <x:f>E119/F119</x:f>
        <x:v>1102705.6021182102</x:v>
      </x:c>
      <x:c r="H119" s="10"/>
      <x:c r="I119" s="2" t="str">
        <x:v>N.Neow:GPU(Dense) → E.EventResult:GPU(CompactAbi1)</x:v>
      </x:c>
      <x:c r="J119" s="9" t="n">
        <x:v>8192</x:v>
      </x:c>
      <x:c r="K119" s="9" t="n">
        <x:v>8192</x:v>
      </x:c>
      <x:c r="L119" s="9" t="n">
        <x:v>32</x:v>
      </x:c>
      <x:c r="M119" s="2" t="str">
        <x:v>9KT7EQEZ0000</x:v>
      </x:c>
      <x:c r="N119" s="2" t="n">
        <x:v>4096</x:v>
      </x:c>
    </x:row>
    <x:row r="120" ht="22" customHeight="1">
      <x:c r="A120" s="2" t="str">
        <x:v>resource15-full34-vs-upstream</x:v>
      </x:c>
      <x:c r="B120" s="2" t="str">
        <x:v>B01</x:v>
      </x:c>
      <x:c r="C120" s="2" t="str">
        <x:v>optimized</x:v>
      </x:c>
      <x:c r="D120" s="2" t="n">
        <x:v>2</x:v>
      </x:c>
      <x:c r="E120" s="9" t="n">
        <x:v>22863872</x:v>
      </x:c>
      <x:c r="F120" s="10" t="n">
        <x:v>10.0037276</x:v>
      </x:c>
      <x:c r="G120" s="10" t="n">
        <x:f>E120/F120</x:f>
        <x:v>2285535.2438824903</x:v>
      </x:c>
      <x:c r="H120" s="10"/>
      <x:c r="I120" s="2" t="str">
        <x:v>N.Neow:GPU(Dense) → E.EventResult:GPU(CompactAbi1)</x:v>
      </x:c>
      <x:c r="J120" s="9" t="n">
        <x:v>8192</x:v>
      </x:c>
      <x:c r="K120" s="9" t="n">
        <x:v>8192</x:v>
      </x:c>
      <x:c r="L120" s="9" t="n">
        <x:v>32</x:v>
      </x:c>
      <x:c r="M120" s="2" t="str">
        <x:v>9KT7EQEZ0000</x:v>
      </x:c>
      <x:c r="N120" s="2" t="n">
        <x:v>4096</x:v>
      </x:c>
    </x:row>
    <x:row r="121" ht="22" customHeight="1">
      <x:c r="A121" s="2" t="str">
        <x:v>resource15-full34-vs-upstream</x:v>
      </x:c>
      <x:c r="B121" s="2" t="str">
        <x:v>S3</x:v>
      </x:c>
      <x:c r="C121" s="2" t="str">
        <x:v>original</x:v>
      </x:c>
      <x:c r="D121" s="2" t="n">
        <x:v>1</x:v>
      </x:c>
      <x:c r="E121" s="9" t="n">
        <x:v>37698404352</x:v>
      </x:c>
      <x:c r="F121" s="10" t="n">
        <x:v>10.0023766</x:v>
      </x:c>
      <x:c r="G121" s="10" t="n">
        <x:f>E121/F121</x:f>
        <x:v>3768944707.800744</x:v>
      </x:c>
      <x:c r="H121" s="10"/>
      <x:c r="I121" s="2" t="str">
        <x:v>S.MerchantShopColorless:GPU(Dense)</x:v>
      </x:c>
      <x:c r="J121" s="9" t="n">
        <x:v>67108864</x:v>
      </x:c>
      <x:c r="K121" s="9" t="n">
        <x:v>0</x:v>
      </x:c>
      <x:c r="L121" s="9" t="n">
        <x:v>32</x:v>
      </x:c>
      <x:c r="M121" s="2" t="str">
        <x:v>9KT7EQEZ0000</x:v>
      </x:c>
      <x:c r="N121" s="2" t="n">
        <x:v>4096</x:v>
      </x:c>
    </x:row>
    <x:row r="122" ht="22" customHeight="1">
      <x:c r="A122" s="2" t="str">
        <x:v>resource15-full34-vs-upstream</x:v>
      </x:c>
      <x:c r="B122" s="2" t="str">
        <x:v>S3</x:v>
      </x:c>
      <x:c r="C122" s="2" t="str">
        <x:v>optimized</x:v>
      </x:c>
      <x:c r="D122" s="2" t="n">
        <x:v>1</x:v>
      </x:c>
      <x:c r="E122" s="9" t="n">
        <x:v>99656663040</x:v>
      </x:c>
      <x:c r="F122" s="10" t="n">
        <x:v>10.0013291</x:v>
      </x:c>
      <x:c r="G122" s="10" t="n">
        <x:f>E122/F122</x:f>
        <x:v>9964341943.312315</x:v>
      </x:c>
      <x:c r="H122" s="10"/>
      <x:c r="I122" s="2" t="str">
        <x:v>S.MerchantShopColorless:GPU(Dense)</x:v>
      </x:c>
      <x:c r="J122" s="9" t="n">
        <x:v>67108864</x:v>
      </x:c>
      <x:c r="K122" s="9" t="n">
        <x:v>0</x:v>
      </x:c>
      <x:c r="L122" s="9" t="n">
        <x:v>32</x:v>
      </x:c>
      <x:c r="M122" s="2" t="str">
        <x:v>9KT7EQEZ0000</x:v>
      </x:c>
      <x:c r="N122" s="2" t="n">
        <x:v>4096</x:v>
      </x:c>
    </x:row>
    <x:row r="123" ht="22" customHeight="1">
      <x:c r="A123" s="2" t="str">
        <x:v>resource15-full34-vs-upstream</x:v>
      </x:c>
      <x:c r="B123" s="2" t="str">
        <x:v>S3</x:v>
      </x:c>
      <x:c r="C123" s="2" t="str">
        <x:v>original</x:v>
      </x:c>
      <x:c r="D123" s="2" t="n">
        <x:v>2</x:v>
      </x:c>
      <x:c r="E123" s="9" t="n">
        <x:v>36154900480</x:v>
      </x:c>
      <x:c r="F123" s="10" t="n">
        <x:v>10.0043064</x:v>
      </x:c>
      <x:c r="G123" s="10" t="n">
        <x:f>E123/F123</x:f>
        <x:v>3613933743.5726676</x:v>
      </x:c>
      <x:c r="H123" s="10"/>
      <x:c r="I123" s="2" t="str">
        <x:v>S.MerchantShopColorless:GPU(Dense)</x:v>
      </x:c>
      <x:c r="J123" s="9" t="n">
        <x:v>67108864</x:v>
      </x:c>
      <x:c r="K123" s="9" t="n">
        <x:v>0</x:v>
      </x:c>
      <x:c r="L123" s="9" t="n">
        <x:v>32</x:v>
      </x:c>
      <x:c r="M123" s="2" t="str">
        <x:v>9KT7EQEZ0000</x:v>
      </x:c>
      <x:c r="N123" s="2" t="n">
        <x:v>4096</x:v>
      </x:c>
    </x:row>
    <x:row r="124" ht="22" customHeight="1">
      <x:c r="A124" s="2" t="str">
        <x:v>resource15-full34-vs-upstream</x:v>
      </x:c>
      <x:c r="B124" s="2" t="str">
        <x:v>S3</x:v>
      </x:c>
      <x:c r="C124" s="2" t="str">
        <x:v>optimized</x:v>
      </x:c>
      <x:c r="D124" s="2" t="n">
        <x:v>2</x:v>
      </x:c>
      <x:c r="E124" s="9" t="n">
        <x:v>101686706176</x:v>
      </x:c>
      <x:c r="F124" s="10" t="n">
        <x:v>10.0009603</x:v>
      </x:c>
      <x:c r="G124" s="10" t="n">
        <x:f>E124/F124</x:f>
        <x:v>10167694213.924637</x:v>
      </x:c>
      <x:c r="H124" s="10"/>
      <x:c r="I124" s="2" t="str">
        <x:v>S.MerchantShopColorless:GPU(Dense)</x:v>
      </x:c>
      <x:c r="J124" s="9" t="n">
        <x:v>67108864</x:v>
      </x:c>
      <x:c r="K124" s="9" t="n">
        <x:v>0</x:v>
      </x:c>
      <x:c r="L124" s="9" t="n">
        <x:v>32</x:v>
      </x:c>
      <x:c r="M124" s="2" t="str">
        <x:v>9KT7EQEZ0000</x:v>
      </x:c>
      <x:c r="N124" s="2" t="n">
        <x:v>4096</x:v>
      </x:c>
    </x:row>
    <x:row r="125" ht="22" customHeight="1">
      <x:c r="A125" s="2" t="str">
        <x:v>resource15-full34-vs-upstream</x:v>
      </x:c>
      <x:c r="B125" s="2" t="str">
        <x:v>S5</x:v>
      </x:c>
      <x:c r="C125" s="2" t="str">
        <x:v>original</x:v>
      </x:c>
      <x:c r="D125" s="2" t="n">
        <x:v>1</x:v>
      </x:c>
      <x:c r="E125" s="9" t="n">
        <x:v>15485370368</x:v>
      </x:c>
      <x:c r="F125" s="10" t="n">
        <x:v>10.0027521</x:v>
      </x:c>
      <x:c r="G125" s="10" t="n">
        <x:f>E125/F125</x:f>
        <x:v>1548110981.1768703</x:v>
      </x:c>
      <x:c r="H125" s="10"/>
      <x:c r="I125" s="2" t="str">
        <x:v>S.MerchantShopColorless:GPU(Dense)</x:v>
      </x:c>
      <x:c r="J125" s="9" t="n">
        <x:v>67108864</x:v>
      </x:c>
      <x:c r="K125" s="9" t="n">
        <x:v>0</x:v>
      </x:c>
      <x:c r="L125" s="9" t="n">
        <x:v>32</x:v>
      </x:c>
      <x:c r="M125" s="2" t="str">
        <x:v>9KT7EQEZ0000</x:v>
      </x:c>
      <x:c r="N125" s="2" t="n">
        <x:v>4096</x:v>
      </x:c>
    </x:row>
    <x:row r="126" ht="22" customHeight="1">
      <x:c r="A126" s="2" t="str">
        <x:v>resource15-full34-vs-upstream</x:v>
      </x:c>
      <x:c r="B126" s="2" t="str">
        <x:v>S5</x:v>
      </x:c>
      <x:c r="C126" s="2" t="str">
        <x:v>optimized</x:v>
      </x:c>
      <x:c r="D126" s="2" t="n">
        <x:v>1</x:v>
      </x:c>
      <x:c r="E126" s="9" t="n">
        <x:v>60112764928</x:v>
      </x:c>
      <x:c r="F126" s="10" t="n">
        <x:v>10.0004932</x:v>
      </x:c>
      <x:c r="G126" s="10" t="n">
        <x:f>E126/F126</x:f>
        <x:v>6010980031.264858</x:v>
      </x:c>
      <x:c r="H126" s="10"/>
      <x:c r="I126" s="2" t="str">
        <x:v>S.MerchantShopColorless:GPU(Dense)</x:v>
      </x:c>
      <x:c r="J126" s="9" t="n">
        <x:v>67108864</x:v>
      </x:c>
      <x:c r="K126" s="9" t="n">
        <x:v>0</x:v>
      </x:c>
      <x:c r="L126" s="9" t="n">
        <x:v>32</x:v>
      </x:c>
      <x:c r="M126" s="2" t="str">
        <x:v>9KT7EQEZ0000</x:v>
      </x:c>
      <x:c r="N126" s="2" t="n">
        <x:v>4096</x:v>
      </x:c>
    </x:row>
    <x:row r="127" ht="22" customHeight="1">
      <x:c r="A127" s="2" t="str">
        <x:v>resource15-full34-vs-upstream</x:v>
      </x:c>
      <x:c r="B127" s="2" t="str">
        <x:v>S5</x:v>
      </x:c>
      <x:c r="C127" s="2" t="str">
        <x:v>original</x:v>
      </x:c>
      <x:c r="D127" s="2" t="n">
        <x:v>2</x:v>
      </x:c>
      <x:c r="E127" s="9" t="n">
        <x:v>15384707072</x:v>
      </x:c>
      <x:c r="F127" s="10" t="n">
        <x:v>10.0122242</x:v>
      </x:c>
      <x:c r="G127" s="10" t="n">
        <x:f>E127/F127</x:f>
        <x:v>1536592345.9844217</x:v>
      </x:c>
      <x:c r="H127" s="10"/>
      <x:c r="I127" s="2" t="str">
        <x:v>S.MerchantShopColorless:GPU(Dense)</x:v>
      </x:c>
      <x:c r="J127" s="9" t="n">
        <x:v>67108864</x:v>
      </x:c>
      <x:c r="K127" s="9" t="n">
        <x:v>0</x:v>
      </x:c>
      <x:c r="L127" s="9" t="n">
        <x:v>32</x:v>
      </x:c>
      <x:c r="M127" s="2" t="str">
        <x:v>9KT7EQEZ0000</x:v>
      </x:c>
      <x:c r="N127" s="2" t="n">
        <x:v>4096</x:v>
      </x:c>
    </x:row>
    <x:row r="128" ht="22" customHeight="1">
      <x:c r="A128" s="2" t="str">
        <x:v>resource15-full34-vs-upstream</x:v>
      </x:c>
      <x:c r="B128" s="2" t="str">
        <x:v>S5</x:v>
      </x:c>
      <x:c r="C128" s="2" t="str">
        <x:v>optimized</x:v>
      </x:c>
      <x:c r="D128" s="2" t="n">
        <x:v>2</x:v>
      </x:c>
      <x:c r="E128" s="9" t="n">
        <x:v>60028878848</x:v>
      </x:c>
      <x:c r="F128" s="10" t="n">
        <x:v>10.0009797</x:v>
      </x:c>
      <x:c r="G128" s="10" t="n">
        <x:f>E128/F128</x:f>
        <x:v>6002299839.484726</x:v>
      </x:c>
      <x:c r="H128" s="10"/>
      <x:c r="I128" s="2" t="str">
        <x:v>S.MerchantShopColorless:GPU(Dense)</x:v>
      </x:c>
      <x:c r="J128" s="9" t="n">
        <x:v>67108864</x:v>
      </x:c>
      <x:c r="K128" s="9" t="n">
        <x:v>0</x:v>
      </x:c>
      <x:c r="L128" s="9" t="n">
        <x:v>32</x:v>
      </x:c>
      <x:c r="M128" s="2" t="str">
        <x:v>9KT7EQEZ0000</x:v>
      </x:c>
      <x:c r="N128" s="2" t="n">
        <x:v>4096</x:v>
      </x:c>
    </x:row>
    <x:row r="129" ht="22" customHeight="1">
      <x:c r="A129" s="2" t="str">
        <x:v>resource15-full34-vs-upstream</x:v>
      </x:c>
      <x:c r="B129" s="2" t="str">
        <x:v>SAA</x:v>
      </x:c>
      <x:c r="C129" s="2" t="str">
        <x:v>original</x:v>
      </x:c>
      <x:c r="D129" s="2" t="n">
        <x:v>1</x:v>
      </x:c>
      <x:c r="E129" s="9" t="n">
        <x:v>19679674368</x:v>
      </x:c>
      <x:c r="F129" s="10" t="n">
        <x:v>10.0036948</x:v>
      </x:c>
      <x:c r="G129" s="10" t="n">
        <x:f>E129/F129</x:f>
        <x:v>1967240580.7502244</x:v>
      </x:c>
      <x:c r="H129" s="10"/>
      <x:c r="I129" s="2" t="str">
        <x:v>S.MerchantShopColorless:GPU(Dense)</x:v>
      </x:c>
      <x:c r="J129" s="9" t="n">
        <x:v>67108864</x:v>
      </x:c>
      <x:c r="K129" s="9" t="n">
        <x:v>0</x:v>
      </x:c>
      <x:c r="L129" s="9" t="n">
        <x:v>32</x:v>
      </x:c>
      <x:c r="M129" s="2" t="str">
        <x:v>9KT7EQEZ0000</x:v>
      </x:c>
      <x:c r="N129" s="2" t="n">
        <x:v>4096</x:v>
      </x:c>
    </x:row>
    <x:row r="130" ht="22" customHeight="1">
      <x:c r="A130" s="2" t="str">
        <x:v>resource15-full34-vs-upstream</x:v>
      </x:c>
      <x:c r="B130" s="2" t="str">
        <x:v>SAA</x:v>
      </x:c>
      <x:c r="C130" s="2" t="str">
        <x:v>optimized</x:v>
      </x:c>
      <x:c r="D130" s="2" t="n">
        <x:v>1</x:v>
      </x:c>
      <x:c r="E130" s="9" t="n">
        <x:v>61891149824</x:v>
      </x:c>
      <x:c r="F130" s="10" t="n">
        <x:v>10.001421</x:v>
      </x:c>
      <x:c r="G130" s="10" t="n">
        <x:f>E130/F130</x:f>
        <x:v>6188235634.116392</x:v>
      </x:c>
      <x:c r="H130" s="10"/>
      <x:c r="I130" s="2" t="str">
        <x:v>S.MerchantShopColorless:GPU(Dense)</x:v>
      </x:c>
      <x:c r="J130" s="9" t="n">
        <x:v>67108864</x:v>
      </x:c>
      <x:c r="K130" s="9" t="n">
        <x:v>0</x:v>
      </x:c>
      <x:c r="L130" s="9" t="n">
        <x:v>32</x:v>
      </x:c>
      <x:c r="M130" s="2" t="str">
        <x:v>9KT7EQEZ0000</x:v>
      </x:c>
      <x:c r="N130" s="2" t="n">
        <x:v>4096</x:v>
      </x:c>
    </x:row>
    <x:row r="131" ht="22" customHeight="1">
      <x:c r="A131" s="2" t="str">
        <x:v>resource15-full34-vs-upstream</x:v>
      </x:c>
      <x:c r="B131" s="2" t="str">
        <x:v>SAA</x:v>
      </x:c>
      <x:c r="C131" s="2" t="str">
        <x:v>original</x:v>
      </x:c>
      <x:c r="D131" s="2" t="n">
        <x:v>2</x:v>
      </x:c>
      <x:c r="E131" s="9" t="n">
        <x:v>19646119936</x:v>
      </x:c>
      <x:c r="F131" s="10" t="n">
        <x:v>10.0057707</x:v>
      </x:c>
      <x:c r="G131" s="10" t="n">
        <x:f>E131/F131</x:f>
        <x:v>1963478928.8145492</x:v>
      </x:c>
      <x:c r="H131" s="10"/>
      <x:c r="I131" s="2" t="str">
        <x:v>S.MerchantShopColorless:GPU(Dense)</x:v>
      </x:c>
      <x:c r="J131" s="9" t="n">
        <x:v>67108864</x:v>
      </x:c>
      <x:c r="K131" s="9" t="n">
        <x:v>0</x:v>
      </x:c>
      <x:c r="L131" s="9" t="n">
        <x:v>32</x:v>
      </x:c>
      <x:c r="M131" s="2" t="str">
        <x:v>9KT7EQEZ0000</x:v>
      </x:c>
      <x:c r="N131" s="2" t="n">
        <x:v>4096</x:v>
      </x:c>
    </x:row>
    <x:row r="132" ht="22" customHeight="1">
      <x:c r="A132" s="2" t="str">
        <x:v>resource15-full34-vs-upstream</x:v>
      </x:c>
      <x:c r="B132" s="2" t="str">
        <x:v>SAA</x:v>
      </x:c>
      <x:c r="C132" s="2" t="str">
        <x:v>optimized</x:v>
      </x:c>
      <x:c r="D132" s="2" t="n">
        <x:v>2</x:v>
      </x:c>
      <x:c r="E132" s="9" t="n">
        <x:v>58569261056</x:v>
      </x:c>
      <x:c r="F132" s="10" t="n">
        <x:v>10.0007638</x:v>
      </x:c>
      <x:c r="G132" s="10" t="n">
        <x:f>E132/F132</x:f>
        <x:v>5856478787.750192</x:v>
      </x:c>
      <x:c r="H132" s="10"/>
      <x:c r="I132" s="2" t="str">
        <x:v>S.MerchantShopColorless:GPU(Dense)</x:v>
      </x:c>
      <x:c r="J132" s="9" t="n">
        <x:v>67108864</x:v>
      </x:c>
      <x:c r="K132" s="9" t="n">
        <x:v>0</x:v>
      </x:c>
      <x:c r="L132" s="9" t="n">
        <x:v>32</x:v>
      </x:c>
      <x:c r="M132" s="2" t="str">
        <x:v>9KT7EQEZ0000</x:v>
      </x:c>
      <x:c r="N132" s="2" t="n">
        <x:v>4096</x:v>
      </x:c>
    </x:row>
    <x:row r="133" ht="22" customHeight="1">
      <x:c r="A133" s="2" t="str">
        <x:v>resource15-full34-vs-upstream</x:v>
      </x:c>
      <x:c r="B133" s="2" t="str">
        <x:v>C01</x:v>
      </x:c>
      <x:c r="C133" s="2" t="str">
        <x:v>original</x:v>
      </x:c>
      <x:c r="D133" s="2" t="n">
        <x:v>1</x:v>
      </x:c>
      <x:c r="E133" s="9" t="n">
        <x:v>465240064</x:v>
      </x:c>
      <x:c r="F133" s="10" t="n">
        <x:v>10.001186</x:v>
      </x:c>
      <x:c r="G133" s="10" t="n">
        <x:f>E133/F133</x:f>
        <x:v>46518489.30716817</x:v>
      </x:c>
      <x:c r="H133" s="10"/>
      <x:c r="I133" s="2" t="str">
        <x:v>N.Neow:CPU(Dense) → R.Relic:CPU(CompactAbi1) → C.CombatReward:CPU(CompactAbi1)</x:v>
      </x:c>
      <x:c r="J133" s="9" t="n">
        <x:v>1048576</x:v>
      </x:c>
      <x:c r="K133" s="9" t="n">
        <x:v>0</x:v>
      </x:c>
      <x:c r="L133" s="9" t="n">
        <x:v>32</x:v>
      </x:c>
      <x:c r="M133" s="2" t="str">
        <x:v>9KT7EQEZ0000</x:v>
      </x:c>
      <x:c r="N133" s="2" t="n">
        <x:v>4096</x:v>
      </x:c>
    </x:row>
    <x:row r="134" ht="22" customHeight="1">
      <x:c r="A134" s="2" t="str">
        <x:v>resource15-full34-vs-upstream</x:v>
      </x:c>
      <x:c r="B134" s="2" t="str">
        <x:v>C01</x:v>
      </x:c>
      <x:c r="C134" s="2" t="str">
        <x:v>optimized</x:v>
      </x:c>
      <x:c r="D134" s="2" t="n">
        <x:v>1</x:v>
      </x:c>
      <x:c r="E134" s="9" t="n">
        <x:v>3255304192</x:v>
      </x:c>
      <x:c r="F134" s="10" t="n">
        <x:v>10.0000151</x:v>
      </x:c>
      <x:c r="G134" s="10" t="n">
        <x:f>E134/F134</x:f>
        <x:v>325529927.64980924</x:v>
      </x:c>
      <x:c r="H134" s="10"/>
      <x:c r="I134" s="2" t="str">
        <x:v>N.Neow:CPU(Dense) → R.Relic:CPU(CompactAbi1) → C.CombatReward:CPU(CompactAbi1)</x:v>
      </x:c>
      <x:c r="J134" s="9" t="n">
        <x:v>1048576</x:v>
      </x:c>
      <x:c r="K134" s="9" t="n">
        <x:v>0</x:v>
      </x:c>
      <x:c r="L134" s="9" t="n">
        <x:v>32</x:v>
      </x:c>
      <x:c r="M134" s="2" t="str">
        <x:v>9KT7EQEZ0000</x:v>
      </x:c>
      <x:c r="N134" s="2" t="n">
        <x:v>4096</x:v>
      </x:c>
    </x:row>
    <x:row r="135" ht="22" customHeight="1">
      <x:c r="A135" s="2" t="str">
        <x:v>resource15-full34-vs-upstream</x:v>
      </x:c>
      <x:c r="B135" s="2" t="str">
        <x:v>C01</x:v>
      </x:c>
      <x:c r="C135" s="2" t="str">
        <x:v>original</x:v>
      </x:c>
      <x:c r="D135" s="2" t="n">
        <x:v>2</x:v>
      </x:c>
      <x:c r="E135" s="9" t="n">
        <x:v>475267072</x:v>
      </x:c>
      <x:c r="F135" s="10" t="n">
        <x:v>10.0007187</x:v>
      </x:c>
      <x:c r="G135" s="10" t="n">
        <x:f>E135/F135</x:f>
        <x:v>47523291.70102545</x:v>
      </x:c>
      <x:c r="H135" s="10"/>
      <x:c r="I135" s="2" t="str">
        <x:v>N.Neow:CPU(Dense) → R.Relic:CPU(CompactAbi1) → C.CombatReward:CPU(CompactAbi1)</x:v>
      </x:c>
      <x:c r="J135" s="9" t="n">
        <x:v>1048576</x:v>
      </x:c>
      <x:c r="K135" s="9" t="n">
        <x:v>0</x:v>
      </x:c>
      <x:c r="L135" s="9" t="n">
        <x:v>32</x:v>
      </x:c>
      <x:c r="M135" s="2" t="str">
        <x:v>9KT7EQEZ0000</x:v>
      </x:c>
      <x:c r="N135" s="2" t="n">
        <x:v>4096</x:v>
      </x:c>
    </x:row>
    <x:row r="136" ht="22" customHeight="1">
      <x:c r="A136" s="2" t="str">
        <x:v>resource15-full34-vs-upstream</x:v>
      </x:c>
      <x:c r="B136" s="2" t="str">
        <x:v>C01</x:v>
      </x:c>
      <x:c r="C136" s="2" t="str">
        <x:v>optimized</x:v>
      </x:c>
      <x:c r="D136" s="2" t="n">
        <x:v>2</x:v>
      </x:c>
      <x:c r="E136" s="9" t="n">
        <x:v>3343581184</x:v>
      </x:c>
      <x:c r="F136" s="10" t="n">
        <x:v>10.0001593</x:v>
      </x:c>
      <x:c r="G136" s="10" t="n">
        <x:f>E136/F136</x:f>
        <x:v>334352792.1600209</x:v>
      </x:c>
      <x:c r="H136" s="10"/>
      <x:c r="I136" s="2" t="str">
        <x:v>N.Neow:CPU(Dense) → R.Relic:CPU(CompactAbi1) → C.CombatReward:CPU(CompactAbi1)</x:v>
      </x:c>
      <x:c r="J136" s="9" t="n">
        <x:v>1048576</x:v>
      </x:c>
      <x:c r="K136" s="9" t="n">
        <x:v>0</x:v>
      </x:c>
      <x:c r="L136" s="9" t="n">
        <x:v>32</x:v>
      </x:c>
      <x:c r="M136" s="2" t="str">
        <x:v>9KT7EQEZ0000</x:v>
      </x:c>
      <x:c r="N136" s="2" t="n">
        <x:v>4096</x:v>
      </x:c>
    </x:row>
    <x:row r="137" ht="22" customHeight="1">
      <x:c r="A137" s="2" t="str">
        <x:v>resource15-full34-vs-upstream</x:v>
      </x:c>
      <x:c r="B137" s="2" t="str">
        <x:v>C02</x:v>
      </x:c>
      <x:c r="C137" s="2" t="str">
        <x:v>original</x:v>
      </x:c>
      <x:c r="D137" s="2" t="n">
        <x:v>1</x:v>
      </x:c>
      <x:c r="E137" s="9" t="n">
        <x:v>479920128</x:v>
      </x:c>
      <x:c r="F137" s="10" t="n">
        <x:v>10.0005839</x:v>
      </x:c>
      <x:c r="G137" s="10" t="n">
        <x:f>E137/F137</x:f>
        <x:v>47989210.70998664</x:v>
      </x:c>
      <x:c r="H137" s="10"/>
      <x:c r="I137" s="2" t="str">
        <x:v>N.Neow:CPU(Dense) → R.Relic:CPU(CompactAbi1)</x:v>
      </x:c>
      <x:c r="J137" s="9" t="n">
        <x:v>1048576</x:v>
      </x:c>
      <x:c r="K137" s="9" t="n">
        <x:v>0</x:v>
      </x:c>
      <x:c r="L137" s="9" t="n">
        <x:v>32</x:v>
      </x:c>
      <x:c r="M137" s="2" t="str">
        <x:v>9KT7EQEZ0000</x:v>
      </x:c>
      <x:c r="N137" s="2" t="n">
        <x:v>4096</x:v>
      </x:c>
    </x:row>
    <x:row r="138" ht="22" customHeight="1">
      <x:c r="A138" s="2" t="str">
        <x:v>resource15-full34-vs-upstream</x:v>
      </x:c>
      <x:c r="B138" s="2" t="str">
        <x:v>C02</x:v>
      </x:c>
      <x:c r="C138" s="2" t="str">
        <x:v>optimized</x:v>
      </x:c>
      <x:c r="D138" s="2" t="n">
        <x:v>1</x:v>
      </x:c>
      <x:c r="E138" s="9" t="n">
        <x:v>3955294208</x:v>
      </x:c>
      <x:c r="F138" s="10" t="n">
        <x:v>10.0001872</x:v>
      </x:c>
      <x:c r="G138" s="10" t="n">
        <x:f>E138/F138</x:f>
        <x:v>395522016.62784874</x:v>
      </x:c>
      <x:c r="H138" s="10"/>
      <x:c r="I138" s="2" t="str">
        <x:v>N.Neow:CPU(Dense) → R.Relic:CPU(CompactAbi1)</x:v>
      </x:c>
      <x:c r="J138" s="9" t="n">
        <x:v>1048576</x:v>
      </x:c>
      <x:c r="K138" s="9" t="n">
        <x:v>0</x:v>
      </x:c>
      <x:c r="L138" s="9" t="n">
        <x:v>32</x:v>
      </x:c>
      <x:c r="M138" s="2" t="str">
        <x:v>9KT7EQEZ0000</x:v>
      </x:c>
      <x:c r="N138" s="2" t="n">
        <x:v>4096</x:v>
      </x:c>
    </x:row>
    <x:row r="139" ht="22" customHeight="1">
      <x:c r="A139" s="2" t="str">
        <x:v>resource15-full34-vs-upstream</x:v>
      </x:c>
      <x:c r="B139" s="2" t="str">
        <x:v>C02</x:v>
      </x:c>
      <x:c r="C139" s="2" t="str">
        <x:v>original</x:v>
      </x:c>
      <x:c r="D139" s="2" t="n">
        <x:v>2</x:v>
      </x:c>
      <x:c r="E139" s="9" t="n">
        <x:v>488898560</x:v>
      </x:c>
      <x:c r="F139" s="10" t="n">
        <x:v>10.000427</x:v>
      </x:c>
      <x:c r="G139" s="10" t="n">
        <x:f>E139/F139</x:f>
        <x:v>48887768.49228538</x:v>
      </x:c>
      <x:c r="H139" s="10"/>
      <x:c r="I139" s="2" t="str">
        <x:v>N.Neow:CPU(Dense) → R.Relic:CPU(CompactAbi1)</x:v>
      </x:c>
      <x:c r="J139" s="9" t="n">
        <x:v>1048576</x:v>
      </x:c>
      <x:c r="K139" s="9" t="n">
        <x:v>0</x:v>
      </x:c>
      <x:c r="L139" s="9" t="n">
        <x:v>32</x:v>
      </x:c>
      <x:c r="M139" s="2" t="str">
        <x:v>9KT7EQEZ0000</x:v>
      </x:c>
      <x:c r="N139" s="2" t="n">
        <x:v>4096</x:v>
      </x:c>
    </x:row>
    <x:row r="140" ht="22" customHeight="1">
      <x:c r="A140" s="2" t="str">
        <x:v>resource15-full34-vs-upstream</x:v>
      </x:c>
      <x:c r="B140" s="2" t="str">
        <x:v>C02</x:v>
      </x:c>
      <x:c r="C140" s="2" t="str">
        <x:v>optimized</x:v>
      </x:c>
      <x:c r="D140" s="2" t="n">
        <x:v>2</x:v>
      </x:c>
      <x:c r="E140" s="9" t="n">
        <x:v>4017750016</x:v>
      </x:c>
      <x:c r="F140" s="10" t="n">
        <x:v>10.0001528</x:v>
      </x:c>
      <x:c r="G140" s="10" t="n">
        <x:f>E140/F140</x:f>
        <x:v>401768862.5717799</x:v>
      </x:c>
      <x:c r="H140" s="10"/>
      <x:c r="I140" s="2" t="str">
        <x:v>N.Neow:CPU(Dense) → R.Relic:CPU(CompactAbi1)</x:v>
      </x:c>
      <x:c r="J140" s="9" t="n">
        <x:v>1048576</x:v>
      </x:c>
      <x:c r="K140" s="9" t="n">
        <x:v>0</x:v>
      </x:c>
      <x:c r="L140" s="9" t="n">
        <x:v>32</x:v>
      </x:c>
      <x:c r="M140" s="2" t="str">
        <x:v>9KT7EQEZ0000</x:v>
      </x:c>
      <x:c r="N140" s="2" t="n">
        <x:v>4096</x:v>
      </x:c>
    </x:row>
    <x:row r="141" ht="22" customHeight="1">
      <x:c r="A141" s="2" t="str">
        <x:v>resource15-variance-A-context6</x:v>
      </x:c>
      <x:c r="B141" s="2" t="str">
        <x:v>U01</x:v>
      </x:c>
      <x:c r="C141" s="2" t="str">
        <x:v>optimized</x:v>
      </x:c>
      <x:c r="D141" s="2" t="n">
        <x:v>1</x:v>
      </x:c>
      <x:c r="E141" s="9" t="n">
        <x:v>362924736512</x:v>
      </x:c>
      <x:c r="F141" s="10" t="n">
        <x:v>10.0006251</x:v>
      </x:c>
      <x:c r="G141" s="10" t="n">
        <x:f>E141/F141</x:f>
        <x:v>36290205150.47604</x:v>
      </x:c>
      <x:c r="H141" s="10"/>
      <x:c r="I141" s="2" t="str">
        <x:v>N.Neow:GPU(Dense)</x:v>
      </x:c>
      <x:c r="J141" s="9" t="n">
        <x:v>67108864</x:v>
      </x:c>
      <x:c r="K141" s="9" t="n">
        <x:v>0</x:v>
      </x:c>
      <x:c r="L141" s="9" t="n">
        <x:v>32</x:v>
      </x:c>
      <x:c r="M141" s="2" t="str">
        <x:v>9KT7EQEZ0000</x:v>
      </x:c>
      <x:c r="N141" s="2" t="n">
        <x:v>4096</x:v>
      </x:c>
    </x:row>
    <x:row r="142" ht="22" customHeight="1">
      <x:c r="A142" s="2" t="str">
        <x:v>resource15-variance-A-context6</x:v>
      </x:c>
      <x:c r="B142" s="2" t="str">
        <x:v>U01</x:v>
      </x:c>
      <x:c r="C142" s="2" t="str">
        <x:v>original</x:v>
      </x:c>
      <x:c r="D142" s="2" t="n">
        <x:v>1</x:v>
      </x:c>
      <x:c r="E142" s="9" t="n">
        <x:v>160574734336</x:v>
      </x:c>
      <x:c r="F142" s="10" t="n">
        <x:v>10.0015481</x:v>
      </x:c>
      <x:c r="G142" s="10" t="n">
        <x:f>E142/F142</x:f>
        <x:v>16054987960.913769</x:v>
      </x:c>
      <x:c r="H142" s="10"/>
      <x:c r="I142" s="2" t="str">
        <x:v>N.Neow:GPU(Dense)</x:v>
      </x:c>
      <x:c r="J142" s="9" t="n">
        <x:v>67108864</x:v>
      </x:c>
      <x:c r="K142" s="9" t="n">
        <x:v>0</x:v>
      </x:c>
      <x:c r="L142" s="9" t="n">
        <x:v>32</x:v>
      </x:c>
      <x:c r="M142" s="2" t="str">
        <x:v>9KT7EQEZ0000</x:v>
      </x:c>
      <x:c r="N142" s="2" t="n">
        <x:v>4096</x:v>
      </x:c>
    </x:row>
    <x:row r="143" ht="22" customHeight="1">
      <x:c r="A143" s="2" t="str">
        <x:v>resource15-variance-A-context6</x:v>
      </x:c>
      <x:c r="B143" s="2" t="str">
        <x:v>U01</x:v>
      </x:c>
      <x:c r="C143" s="2" t="str">
        <x:v>optimized</x:v>
      </x:c>
      <x:c r="D143" s="2" t="n">
        <x:v>2</x:v>
      </x:c>
      <x:c r="E143" s="9" t="n">
        <x:v>359367966720</x:v>
      </x:c>
      <x:c r="F143" s="10" t="n">
        <x:v>10.0007178</x:v>
      </x:c>
      <x:c r="G143" s="10" t="n">
        <x:f>E143/F143</x:f>
        <x:v>35934217313.88121</x:v>
      </x:c>
      <x:c r="H143" s="10"/>
      <x:c r="I143" s="2" t="str">
        <x:v>N.Neow:GPU(Dense)</x:v>
      </x:c>
      <x:c r="J143" s="9" t="n">
        <x:v>67108864</x:v>
      </x:c>
      <x:c r="K143" s="9" t="n">
        <x:v>0</x:v>
      </x:c>
      <x:c r="L143" s="9" t="n">
        <x:v>32</x:v>
      </x:c>
      <x:c r="M143" s="2" t="str">
        <x:v>9KT7EQEZ0000</x:v>
      </x:c>
      <x:c r="N143" s="2" t="n">
        <x:v>4096</x:v>
      </x:c>
    </x:row>
    <x:row r="144" ht="22" customHeight="1">
      <x:c r="A144" s="2" t="str">
        <x:v>resource15-variance-A-context6</x:v>
      </x:c>
      <x:c r="B144" s="2" t="str">
        <x:v>U01</x:v>
      </x:c>
      <x:c r="C144" s="2" t="str">
        <x:v>original</x:v>
      </x:c>
      <x:c r="D144" s="2" t="n">
        <x:v>2</x:v>
      </x:c>
      <x:c r="E144" s="9" t="n">
        <x:v>163863068672</x:v>
      </x:c>
      <x:c r="F144" s="10" t="n">
        <x:v>10.0008466</x:v>
      </x:c>
      <x:c r="G144" s="10" t="n">
        <x:f>E144/F144</x:f>
        <x:v>16384919719.896515</x:v>
      </x:c>
      <x:c r="H144" s="10"/>
      <x:c r="I144" s="2" t="str">
        <x:v>N.Neow:GPU(Dense)</x:v>
      </x:c>
      <x:c r="J144" s="9" t="n">
        <x:v>67108864</x:v>
      </x:c>
      <x:c r="K144" s="9" t="n">
        <x:v>0</x:v>
      </x:c>
      <x:c r="L144" s="9" t="n">
        <x:v>32</x:v>
      </x:c>
      <x:c r="M144" s="2" t="str">
        <x:v>9KT7EQEZ0000</x:v>
      </x:c>
      <x:c r="N144" s="2" t="n">
        <x:v>4096</x:v>
      </x:c>
    </x:row>
    <x:row r="145" ht="22" customHeight="1">
      <x:c r="A145" s="2" t="str">
        <x:v>resource15-variance-A-context6</x:v>
      </x:c>
      <x:c r="B145" s="2" t="str">
        <x:v>F02</x:v>
      </x:c>
      <x:c r="C145" s="2" t="str">
        <x:v>optimized</x:v>
      </x:c>
      <x:c r="D145" s="2" t="n">
        <x:v>1</x:v>
      </x:c>
      <x:c r="E145" s="9" t="n">
        <x:v>1728512</x:v>
      </x:c>
      <x:c r="F145" s="10" t="n">
        <x:v>10.0417709</x:v>
      </x:c>
      <x:c r="G145" s="10" t="n">
        <x:f>E145/F145</x:f>
        <x:v>172132.18835733447</x:v>
      </x:c>
      <x:c r="H145" s="10"/>
      <x:c r="I145" s="2" t="str">
        <x:v>C.CombatReward:GPU(Dense)</x:v>
      </x:c>
      <x:c r="J145" s="9" t="n">
        <x:v>8192</x:v>
      </x:c>
      <x:c r="K145" s="9" t="n">
        <x:v>8192</x:v>
      </x:c>
      <x:c r="L145" s="9" t="n">
        <x:v>32</x:v>
      </x:c>
      <x:c r="M145" s="2" t="str">
        <x:v>9KT7EQEZ0000</x:v>
      </x:c>
      <x:c r="N145" s="2" t="n">
        <x:v>4096</x:v>
      </x:c>
    </x:row>
    <x:row r="146" ht="22" customHeight="1">
      <x:c r="A146" s="2" t="str">
        <x:v>resource15-variance-A-context6</x:v>
      </x:c>
      <x:c r="B146" s="2" t="str">
        <x:v>F02</x:v>
      </x:c>
      <x:c r="C146" s="2" t="str">
        <x:v>original</x:v>
      </x:c>
      <x:c r="D146" s="2" t="n">
        <x:v>1</x:v>
      </x:c>
      <x:c r="E146" s="9" t="n">
        <x:v>1777664</x:v>
      </x:c>
      <x:c r="F146" s="10" t="n">
        <x:v>10.0003983</x:v>
      </x:c>
      <x:c r="G146" s="10" t="n">
        <x:f>E146/F146</x:f>
        <x:v>177759.3198462905</x:v>
      </x:c>
      <x:c r="H146" s="10"/>
      <x:c r="I146" s="2" t="str">
        <x:v>C.CombatReward:GPU(Dense)</x:v>
      </x:c>
      <x:c r="J146" s="9" t="n">
        <x:v>8192</x:v>
      </x:c>
      <x:c r="K146" s="9" t="n">
        <x:v>8192</x:v>
      </x:c>
      <x:c r="L146" s="9" t="n">
        <x:v>32</x:v>
      </x:c>
      <x:c r="M146" s="2" t="str">
        <x:v>9KT7EQEZ0000</x:v>
      </x:c>
      <x:c r="N146" s="2" t="n">
        <x:v>4096</x:v>
      </x:c>
    </x:row>
    <x:row r="147" ht="22" customHeight="1">
      <x:c r="A147" s="2" t="str">
        <x:v>resource15-variance-A-context6</x:v>
      </x:c>
      <x:c r="B147" s="2" t="str">
        <x:v>F02</x:v>
      </x:c>
      <x:c r="C147" s="2" t="str">
        <x:v>optimized</x:v>
      </x:c>
      <x:c r="D147" s="2" t="n">
        <x:v>2</x:v>
      </x:c>
      <x:c r="E147" s="9" t="n">
        <x:v>1720320</x:v>
      </x:c>
      <x:c r="F147" s="10" t="n">
        <x:v>10.0264294</x:v>
      </x:c>
      <x:c r="G147" s="10" t="n">
        <x:f>E147/F147</x:f>
        <x:v>171578.5282445613</x:v>
      </x:c>
      <x:c r="H147" s="10"/>
      <x:c r="I147" s="2" t="str">
        <x:v>C.CombatReward:GPU(Dense)</x:v>
      </x:c>
      <x:c r="J147" s="9" t="n">
        <x:v>8192</x:v>
      </x:c>
      <x:c r="K147" s="9" t="n">
        <x:v>8192</x:v>
      </x:c>
      <x:c r="L147" s="9" t="n">
        <x:v>32</x:v>
      </x:c>
      <x:c r="M147" s="2" t="str">
        <x:v>9KT7EQEZ0000</x:v>
      </x:c>
      <x:c r="N147" s="2" t="n">
        <x:v>4096</x:v>
      </x:c>
    </x:row>
    <x:row r="148" ht="22" customHeight="1">
      <x:c r="A148" s="2" t="str">
        <x:v>resource15-variance-A-context6</x:v>
      </x:c>
      <x:c r="B148" s="2" t="str">
        <x:v>F02</x:v>
      </x:c>
      <x:c r="C148" s="2" t="str">
        <x:v>original</x:v>
      </x:c>
      <x:c r="D148" s="2" t="n">
        <x:v>2</x:v>
      </x:c>
      <x:c r="E148" s="9" t="n">
        <x:v>1843200</x:v>
      </x:c>
      <x:c r="F148" s="10" t="n">
        <x:v>10.0148554</x:v>
      </x:c>
      <x:c r="G148" s="10" t="n">
        <x:f>E148/F148</x:f>
        <x:v>184046.59142657218</x:v>
      </x:c>
      <x:c r="H148" s="10"/>
      <x:c r="I148" s="2" t="str">
        <x:v>C.CombatReward:GPU(Dense)</x:v>
      </x:c>
      <x:c r="J148" s="9" t="n">
        <x:v>8192</x:v>
      </x:c>
      <x:c r="K148" s="9" t="n">
        <x:v>8192</x:v>
      </x:c>
      <x:c r="L148" s="9" t="n">
        <x:v>32</x:v>
      </x:c>
      <x:c r="M148" s="2" t="str">
        <x:v>9KT7EQEZ0000</x:v>
      </x:c>
      <x:c r="N148" s="2" t="n">
        <x:v>4096</x:v>
      </x:c>
    </x:row>
    <x:row r="149" ht="22" customHeight="1">
      <x:c r="A149" s="2" t="str">
        <x:v>resource15-variance-A-context6</x:v>
      </x:c>
      <x:c r="B149" s="2" t="str">
        <x:v>F03</x:v>
      </x:c>
      <x:c r="C149" s="2" t="str">
        <x:v>optimized</x:v>
      </x:c>
      <x:c r="D149" s="2" t="n">
        <x:v>1</x:v>
      </x:c>
      <x:c r="E149" s="9" t="n">
        <x:v>19578880</x:v>
      </x:c>
      <x:c r="F149" s="10" t="n">
        <x:v>10.0058495</x:v>
      </x:c>
      <x:c r="G149" s="10" t="n">
        <x:f>E149/F149</x:f>
        <x:v>1956743.4029464466</x:v>
      </x:c>
      <x:c r="H149" s="10"/>
      <x:c r="I149" s="2" t="str">
        <x:v>E.EventResult:GPU(Dense)</x:v>
      </x:c>
      <x:c r="J149" s="9" t="n">
        <x:v>8192</x:v>
      </x:c>
      <x:c r="K149" s="9" t="n">
        <x:v>8192</x:v>
      </x:c>
      <x:c r="L149" s="9" t="n">
        <x:v>32</x:v>
      </x:c>
      <x:c r="M149" s="2" t="str">
        <x:v>9KT7EQEZ0000</x:v>
      </x:c>
      <x:c r="N149" s="2" t="n">
        <x:v>4096</x:v>
      </x:c>
    </x:row>
    <x:row r="150" ht="22" customHeight="1">
      <x:c r="A150" s="2" t="str">
        <x:v>resource15-variance-A-context6</x:v>
      </x:c>
      <x:c r="B150" s="2" t="str">
        <x:v>F03</x:v>
      </x:c>
      <x:c r="C150" s="2" t="str">
        <x:v>original</x:v>
      </x:c>
      <x:c r="D150" s="2" t="n">
        <x:v>1</x:v>
      </x:c>
      <x:c r="E150" s="9" t="n">
        <x:v>19480576</x:v>
      </x:c>
      <x:c r="F150" s="10" t="n">
        <x:v>10.0036588</x:v>
      </x:c>
      <x:c r="G150" s="10" t="n">
        <x:f>E150/F150</x:f>
        <x:v>1947345.1053728461</x:v>
      </x:c>
      <x:c r="H150" s="10"/>
      <x:c r="I150" s="2" t="str">
        <x:v>E.EventResult:GPU(Dense)</x:v>
      </x:c>
      <x:c r="J150" s="9" t="n">
        <x:v>8192</x:v>
      </x:c>
      <x:c r="K150" s="9" t="n">
        <x:v>8192</x:v>
      </x:c>
      <x:c r="L150" s="9" t="n">
        <x:v>32</x:v>
      </x:c>
      <x:c r="M150" s="2" t="str">
        <x:v>9KT7EQEZ0000</x:v>
      </x:c>
      <x:c r="N150" s="2" t="n">
        <x:v>4096</x:v>
      </x:c>
    </x:row>
    <x:row r="151" ht="22" customHeight="1">
      <x:c r="A151" s="2" t="str">
        <x:v>resource15-variance-A-context6</x:v>
      </x:c>
      <x:c r="B151" s="2" t="str">
        <x:v>F03</x:v>
      </x:c>
      <x:c r="C151" s="2" t="str">
        <x:v>optimized</x:v>
      </x:c>
      <x:c r="D151" s="2" t="n">
        <x:v>2</x:v>
      </x:c>
      <x:c r="E151" s="9" t="n">
        <x:v>19464192</x:v>
      </x:c>
      <x:c r="F151" s="10" t="n">
        <x:v>10.0024585</x:v>
      </x:c>
      <x:c r="G151" s="10" t="n">
        <x:f>E151/F151</x:f>
        <x:v>1945940.7904566664</x:v>
      </x:c>
      <x:c r="H151" s="10"/>
      <x:c r="I151" s="2" t="str">
        <x:v>E.EventResult:GPU(Dense)</x:v>
      </x:c>
      <x:c r="J151" s="9" t="n">
        <x:v>8192</x:v>
      </x:c>
      <x:c r="K151" s="9" t="n">
        <x:v>8192</x:v>
      </x:c>
      <x:c r="L151" s="9" t="n">
        <x:v>32</x:v>
      </x:c>
      <x:c r="M151" s="2" t="str">
        <x:v>9KT7EQEZ0000</x:v>
      </x:c>
      <x:c r="N151" s="2" t="n">
        <x:v>4096</x:v>
      </x:c>
    </x:row>
    <x:row r="152" ht="22" customHeight="1">
      <x:c r="A152" s="2" t="str">
        <x:v>resource15-variance-A-context6</x:v>
      </x:c>
      <x:c r="B152" s="2" t="str">
        <x:v>F03</x:v>
      </x:c>
      <x:c r="C152" s="2" t="str">
        <x:v>original</x:v>
      </x:c>
      <x:c r="D152" s="2" t="n">
        <x:v>2</x:v>
      </x:c>
      <x:c r="E152" s="9" t="n">
        <x:v>19611648</x:v>
      </x:c>
      <x:c r="F152" s="10" t="n">
        <x:v>10.0110893</x:v>
      </x:c>
      <x:c r="G152" s="10" t="n">
        <x:f>E152/F152</x:f>
        <x:v>1958992.4145417423</x:v>
      </x:c>
      <x:c r="H152" s="10"/>
      <x:c r="I152" s="2" t="str">
        <x:v>E.EventResult:GPU(Dense)</x:v>
      </x:c>
      <x:c r="J152" s="9" t="n">
        <x:v>8192</x:v>
      </x:c>
      <x:c r="K152" s="9" t="n">
        <x:v>8192</x:v>
      </x:c>
      <x:c r="L152" s="9" t="n">
        <x:v>32</x:v>
      </x:c>
      <x:c r="M152" s="2" t="str">
        <x:v>9KT7EQEZ0000</x:v>
      </x:c>
      <x:c r="N152" s="2" t="n">
        <x:v>4096</x:v>
      </x:c>
    </x:row>
    <x:row r="153" ht="22" customHeight="1">
      <x:c r="A153" s="2" t="str">
        <x:v>resource15-variance-A-context6</x:v>
      </x:c>
      <x:c r="B153" s="2" t="str">
        <x:v>F04</x:v>
      </x:c>
      <x:c r="C153" s="2" t="str">
        <x:v>optimized</x:v>
      </x:c>
      <x:c r="D153" s="2" t="n">
        <x:v>1</x:v>
      </x:c>
      <x:c r="E153" s="9" t="n">
        <x:v>14729216</x:v>
      </x:c>
      <x:c r="F153" s="10" t="n">
        <x:v>10.0016141</x:v>
      </x:c>
      <x:c r="G153" s="10" t="n">
        <x:f>E153/F153</x:f>
        <x:v>1472683.8940926546</x:v>
      </x:c>
      <x:c r="H153" s="10"/>
      <x:c r="I153" s="2" t="str">
        <x:v>W.World:GPU(Dense)</x:v>
      </x:c>
      <x:c r="J153" s="9" t="n">
        <x:v>8192</x:v>
      </x:c>
      <x:c r="K153" s="9" t="n">
        <x:v>8192</x:v>
      </x:c>
      <x:c r="L153" s="9" t="n">
        <x:v>32</x:v>
      </x:c>
      <x:c r="M153" s="2" t="str">
        <x:v>9KT7EQEZ0000</x:v>
      </x:c>
      <x:c r="N153" s="2" t="n">
        <x:v>4096</x:v>
      </x:c>
    </x:row>
    <x:row r="154" ht="22" customHeight="1">
      <x:c r="A154" s="2" t="str">
        <x:v>resource15-variance-A-context6</x:v>
      </x:c>
      <x:c r="B154" s="2" t="str">
        <x:v>F04</x:v>
      </x:c>
      <x:c r="C154" s="2" t="str">
        <x:v>original</x:v>
      </x:c>
      <x:c r="D154" s="2" t="n">
        <x:v>1</x:v>
      </x:c>
      <x:c r="E154" s="9" t="n">
        <x:v>2048000</x:v>
      </x:c>
      <x:c r="F154" s="10" t="n">
        <x:v>10.0096774</x:v>
      </x:c>
      <x:c r="G154" s="10" t="n">
        <x:f>E154/F154</x:f>
        <x:v>204601.9984620084</x:v>
      </x:c>
      <x:c r="H154" s="10"/>
      <x:c r="I154" s="2" t="str">
        <x:v>W.World:GPU(Dense)</x:v>
      </x:c>
      <x:c r="J154" s="9" t="n">
        <x:v>8192</x:v>
      </x:c>
      <x:c r="K154" s="9" t="n">
        <x:v>8192</x:v>
      </x:c>
      <x:c r="L154" s="9" t="n">
        <x:v>32</x:v>
      </x:c>
      <x:c r="M154" s="2" t="str">
        <x:v>9KT7EQEZ0000</x:v>
      </x:c>
      <x:c r="N154" s="2" t="n">
        <x:v>4096</x:v>
      </x:c>
    </x:row>
    <x:row r="155" ht="22" customHeight="1">
      <x:c r="A155" s="2" t="str">
        <x:v>resource15-variance-A-context6</x:v>
      </x:c>
      <x:c r="B155" s="2" t="str">
        <x:v>F04</x:v>
      </x:c>
      <x:c r="C155" s="2" t="str">
        <x:v>optimized</x:v>
      </x:c>
      <x:c r="D155" s="2" t="n">
        <x:v>2</x:v>
      </x:c>
      <x:c r="E155" s="9" t="n">
        <x:v>15859712</x:v>
      </x:c>
      <x:c r="F155" s="10" t="n">
        <x:v>10.0077171</x:v>
      </x:c>
      <x:c r="G155" s="10" t="n">
        <x:f>E155/F155</x:f>
        <x:v>1584748.2339403857</x:v>
      </x:c>
      <x:c r="H155" s="10"/>
      <x:c r="I155" s="2" t="str">
        <x:v>W.World:GPU(Dense)</x:v>
      </x:c>
      <x:c r="J155" s="9" t="n">
        <x:v>8192</x:v>
      </x:c>
      <x:c r="K155" s="9" t="n">
        <x:v>8192</x:v>
      </x:c>
      <x:c r="L155" s="9" t="n">
        <x:v>32</x:v>
      </x:c>
      <x:c r="M155" s="2" t="str">
        <x:v>9KT7EQEZ0000</x:v>
      </x:c>
      <x:c r="N155" s="2" t="n">
        <x:v>4096</x:v>
      </x:c>
    </x:row>
    <x:row r="156" ht="22" customHeight="1">
      <x:c r="A156" s="2" t="str">
        <x:v>resource15-variance-A-context6</x:v>
      </x:c>
      <x:c r="B156" s="2" t="str">
        <x:v>F04</x:v>
      </x:c>
      <x:c r="C156" s="2" t="str">
        <x:v>original</x:v>
      </x:c>
      <x:c r="D156" s="2" t="n">
        <x:v>2</x:v>
      </x:c>
      <x:c r="E156" s="9" t="n">
        <x:v>2400256</x:v>
      </x:c>
      <x:c r="F156" s="10" t="n">
        <x:v>10.0034919</x:v>
      </x:c>
      <x:c r="G156" s="10" t="n">
        <x:f>E156/F156</x:f>
        <x:v>239941.81471771872</x:v>
      </x:c>
      <x:c r="H156" s="10"/>
      <x:c r="I156" s="2" t="str">
        <x:v>W.World:GPU(Dense)</x:v>
      </x:c>
      <x:c r="J156" s="9" t="n">
        <x:v>8192</x:v>
      </x:c>
      <x:c r="K156" s="9" t="n">
        <x:v>8192</x:v>
      </x:c>
      <x:c r="L156" s="9" t="n">
        <x:v>32</x:v>
      </x:c>
      <x:c r="M156" s="2" t="str">
        <x:v>9KT7EQEZ0000</x:v>
      </x:c>
      <x:c r="N156" s="2" t="n">
        <x:v>4096</x:v>
      </x:c>
    </x:row>
    <x:row r="157" ht="22" customHeight="1">
      <x:c r="A157" s="2" t="str">
        <x:v>resource15-variance-A-context6</x:v>
      </x:c>
      <x:c r="B157" s="2" t="str">
        <x:v>F06</x:v>
      </x:c>
      <x:c r="C157" s="2" t="str">
        <x:v>optimized</x:v>
      </x:c>
      <x:c r="D157" s="2" t="n">
        <x:v>1</x:v>
      </x:c>
      <x:c r="E157" s="9" t="n">
        <x:v>28057600</x:v>
      </x:c>
      <x:c r="F157" s="10" t="n">
        <x:v>10.0087182</x:v>
      </x:c>
      <x:c r="G157" s="10" t="n">
        <x:f>E157/F157</x:f>
        <x:v>2803316.013033517</x:v>
      </x:c>
      <x:c r="H157" s="10"/>
      <x:c r="I157" s="2" t="str">
        <x:v>T.TransformationAggregate:GPU(Dense)</x:v>
      </x:c>
      <x:c r="J157" s="9" t="n">
        <x:v>8192</x:v>
      </x:c>
      <x:c r="K157" s="9" t="n">
        <x:v>8192</x:v>
      </x:c>
      <x:c r="L157" s="9" t="n">
        <x:v>32</x:v>
      </x:c>
      <x:c r="M157" s="2" t="str">
        <x:v>9KT7EQEZ0000</x:v>
      </x:c>
      <x:c r="N157" s="2" t="n">
        <x:v>4096</x:v>
      </x:c>
    </x:row>
    <x:row r="158" ht="22" customHeight="1">
      <x:c r="A158" s="2" t="str">
        <x:v>resource15-variance-A-context6</x:v>
      </x:c>
      <x:c r="B158" s="2" t="str">
        <x:v>F06</x:v>
      </x:c>
      <x:c r="C158" s="2" t="str">
        <x:v>original</x:v>
      </x:c>
      <x:c r="D158" s="2" t="n">
        <x:v>1</x:v>
      </x:c>
      <x:c r="E158" s="9" t="n">
        <x:v>28123136</x:v>
      </x:c>
      <x:c r="F158" s="10" t="n">
        <x:v>10.0056559</x:v>
      </x:c>
      <x:c r="G158" s="10" t="n">
        <x:f>E158/F158</x:f>
        <x:v>2810723.882679195</x:v>
      </x:c>
      <x:c r="H158" s="10"/>
      <x:c r="I158" s="2" t="str">
        <x:v>T.TransformationAggregate:CPU(Dense)</x:v>
      </x:c>
      <x:c r="J158" s="9" t="n">
        <x:v>8192</x:v>
      </x:c>
      <x:c r="K158" s="9" t="n">
        <x:v>8192</x:v>
      </x:c>
      <x:c r="L158" s="9" t="n">
        <x:v>32</x:v>
      </x:c>
      <x:c r="M158" s="2" t="str">
        <x:v>9KT7EQEZ0000</x:v>
      </x:c>
      <x:c r="N158" s="2" t="n">
        <x:v>4096</x:v>
      </x:c>
    </x:row>
    <x:row r="159" ht="22" customHeight="1">
      <x:c r="A159" s="2" t="str">
        <x:v>resource15-variance-A-context6</x:v>
      </x:c>
      <x:c r="B159" s="2" t="str">
        <x:v>F06</x:v>
      </x:c>
      <x:c r="C159" s="2" t="str">
        <x:v>optimized</x:v>
      </x:c>
      <x:c r="D159" s="2" t="n">
        <x:v>2</x:v>
      </x:c>
      <x:c r="E159" s="9" t="n">
        <x:v>28524544</x:v>
      </x:c>
      <x:c r="F159" s="10" t="n">
        <x:v>10.0031839</x:v>
      </x:c>
      <x:c r="G159" s="10" t="n">
        <x:f>E159/F159</x:f>
        <x:v>2851546.4961111033</x:v>
      </x:c>
      <x:c r="H159" s="10"/>
      <x:c r="I159" s="2" t="str">
        <x:v>T.TransformationAggregate:GPU(Dense)</x:v>
      </x:c>
      <x:c r="J159" s="9" t="n">
        <x:v>8192</x:v>
      </x:c>
      <x:c r="K159" s="9" t="n">
        <x:v>8192</x:v>
      </x:c>
      <x:c r="L159" s="9" t="n">
        <x:v>32</x:v>
      </x:c>
      <x:c r="M159" s="2" t="str">
        <x:v>9KT7EQEZ0000</x:v>
      </x:c>
      <x:c r="N159" s="2" t="n">
        <x:v>4096</x:v>
      </x:c>
    </x:row>
    <x:row r="160" ht="22" customHeight="1">
      <x:c r="A160" s="2" t="str">
        <x:v>resource15-variance-A-context6</x:v>
      </x:c>
      <x:c r="B160" s="2" t="str">
        <x:v>F06</x:v>
      </x:c>
      <x:c r="C160" s="2" t="str">
        <x:v>original</x:v>
      </x:c>
      <x:c r="D160" s="2" t="n">
        <x:v>2</x:v>
      </x:c>
      <x:c r="E160" s="9" t="n">
        <x:v>28172288</x:v>
      </x:c>
      <x:c r="F160" s="10" t="n">
        <x:v>10.0016178</x:v>
      </x:c>
      <x:c r="G160" s="10" t="n">
        <x:f>E160/F160</x:f>
        <x:v>2816773.102447486</x:v>
      </x:c>
      <x:c r="H160" s="10"/>
      <x:c r="I160" s="2" t="str">
        <x:v>T.TransformationAggregate:CPU(Dense)</x:v>
      </x:c>
      <x:c r="J160" s="9" t="n">
        <x:v>8192</x:v>
      </x:c>
      <x:c r="K160" s="9" t="n">
        <x:v>8192</x:v>
      </x:c>
      <x:c r="L160" s="9" t="n">
        <x:v>32</x:v>
      </x:c>
      <x:c r="M160" s="2" t="str">
        <x:v>9KT7EQEZ0000</x:v>
      </x:c>
      <x:c r="N160" s="2" t="n">
        <x:v>4096</x:v>
      </x:c>
    </x:row>
    <x:row r="161" ht="22" customHeight="1">
      <x:c r="A161" s="2" t="str">
        <x:v>resource15-variance-A-context6</x:v>
      </x:c>
      <x:c r="B161" s="2" t="str">
        <x:v>C01</x:v>
      </x:c>
      <x:c r="C161" s="2" t="str">
        <x:v>optimized</x:v>
      </x:c>
      <x:c r="D161" s="2" t="n">
        <x:v>1</x:v>
      </x:c>
      <x:c r="E161" s="9" t="n">
        <x:v>3724541952</x:v>
      </x:c>
      <x:c r="F161" s="10" t="n">
        <x:v>10.0000924</x:v>
      </x:c>
      <x:c r="G161" s="10" t="n">
        <x:f>E161/F161</x:f>
        <x:v>372450753.75503534</x:v>
      </x:c>
      <x:c r="H161" s="10"/>
      <x:c r="I161" s="2" t="str">
        <x:v>N.Neow:CPU(Dense) → R.Relic:CPU(CompactAbi1) → C.CombatReward:CPU(CompactAbi1)</x:v>
      </x:c>
      <x:c r="J161" s="9" t="n">
        <x:v>1048576</x:v>
      </x:c>
      <x:c r="K161" s="9" t="n">
        <x:v>0</x:v>
      </x:c>
      <x:c r="L161" s="9" t="n">
        <x:v>32</x:v>
      </x:c>
      <x:c r="M161" s="2" t="str">
        <x:v>9KT7EQEZ0000</x:v>
      </x:c>
      <x:c r="N161" s="2" t="n">
        <x:v>4096</x:v>
      </x:c>
    </x:row>
    <x:row r="162" ht="22" customHeight="1">
      <x:c r="A162" s="2" t="str">
        <x:v>resource15-variance-A-context6</x:v>
      </x:c>
      <x:c r="B162" s="2" t="str">
        <x:v>C01</x:v>
      </x:c>
      <x:c r="C162" s="2" t="str">
        <x:v>original</x:v>
      </x:c>
      <x:c r="D162" s="2" t="n">
        <x:v>1</x:v>
      </x:c>
      <x:c r="E162" s="9" t="n">
        <x:v>476381184</x:v>
      </x:c>
      <x:c r="F162" s="10" t="n">
        <x:v>10.0000631</x:v>
      </x:c>
      <x:c r="G162" s="10" t="n">
        <x:f>E162/F162</x:f>
        <x:v>47637817.805369645</x:v>
      </x:c>
      <x:c r="H162" s="10"/>
      <x:c r="I162" s="2" t="str">
        <x:v>N.Neow:CPU(Dense) → R.Relic:CPU(CompactAbi1) → C.CombatReward:CPU(CompactAbi1)</x:v>
      </x:c>
      <x:c r="J162" s="9" t="n">
        <x:v>1048576</x:v>
      </x:c>
      <x:c r="K162" s="9" t="n">
        <x:v>0</x:v>
      </x:c>
      <x:c r="L162" s="9" t="n">
        <x:v>32</x:v>
      </x:c>
      <x:c r="M162" s="2" t="str">
        <x:v>9KT7EQEZ0000</x:v>
      </x:c>
      <x:c r="N162" s="2" t="n">
        <x:v>4096</x:v>
      </x:c>
    </x:row>
    <x:row r="163" ht="22" customHeight="1">
      <x:c r="A163" s="2" t="str">
        <x:v>resource15-variance-A-context6</x:v>
      </x:c>
      <x:c r="B163" s="2" t="str">
        <x:v>C01</x:v>
      </x:c>
      <x:c r="C163" s="2" t="str">
        <x:v>optimized</x:v>
      </x:c>
      <x:c r="D163" s="2" t="n">
        <x:v>2</x:v>
      </x:c>
      <x:c r="E163" s="9" t="n">
        <x:v>3991470080</x:v>
      </x:c>
      <x:c r="F163" s="10" t="n">
        <x:v>10.0000111</x:v>
      </x:c>
      <x:c r="G163" s="10" t="n">
        <x:f>E163/F163</x:f>
        <x:v>399146564.9473129</x:v>
      </x:c>
      <x:c r="H163" s="10"/>
      <x:c r="I163" s="2" t="str">
        <x:v>N.Neow:CPU(Dense) → R.Relic:CPU(CompactAbi1) → C.CombatReward:CPU(CompactAbi1)</x:v>
      </x:c>
      <x:c r="J163" s="9" t="n">
        <x:v>1048576</x:v>
      </x:c>
      <x:c r="K163" s="9" t="n">
        <x:v>0</x:v>
      </x:c>
      <x:c r="L163" s="9" t="n">
        <x:v>32</x:v>
      </x:c>
      <x:c r="M163" s="2" t="str">
        <x:v>9KT7EQEZ0000</x:v>
      </x:c>
      <x:c r="N163" s="2" t="n">
        <x:v>4096</x:v>
      </x:c>
    </x:row>
    <x:row r="164" ht="22" customHeight="1">
      <x:c r="A164" s="2" t="str">
        <x:v>resource15-variance-A-context6</x:v>
      </x:c>
      <x:c r="B164" s="2" t="str">
        <x:v>C01</x:v>
      </x:c>
      <x:c r="C164" s="2" t="str">
        <x:v>original</x:v>
      </x:c>
      <x:c r="D164" s="2" t="n">
        <x:v>2</x:v>
      </x:c>
      <x:c r="E164" s="9" t="n">
        <x:v>471990272</x:v>
      </x:c>
      <x:c r="F164" s="10" t="n">
        <x:v>10.0005968</x:v>
      </x:c>
      <x:c r="G164" s="10" t="n">
        <x:f>E164/F164</x:f>
        <x:v>47196210.53015556</x:v>
      </x:c>
      <x:c r="H164" s="10"/>
      <x:c r="I164" s="2" t="str">
        <x:v>N.Neow:CPU(Dense) → R.Relic:CPU(CompactAbi1) → C.CombatReward:CPU(CompactAbi1)</x:v>
      </x:c>
      <x:c r="J164" s="9" t="n">
        <x:v>1048576</x:v>
      </x:c>
      <x:c r="K164" s="9" t="n">
        <x:v>0</x:v>
      </x:c>
      <x:c r="L164" s="9" t="n">
        <x:v>32</x:v>
      </x:c>
      <x:c r="M164" s="2" t="str">
        <x:v>9KT7EQEZ0000</x:v>
      </x:c>
      <x:c r="N164" s="2" t="n">
        <x:v>4096</x:v>
      </x:c>
    </x:row>
    <x:row r="165" ht="22" customHeight="1">
      <x:c r="A165" s="2" t="str">
        <x:v>resource15-variance-B-context6</x:v>
      </x:c>
      <x:c r="B165" s="2" t="str">
        <x:v>U01</x:v>
      </x:c>
      <x:c r="C165" s="2" t="str">
        <x:v>optimized</x:v>
      </x:c>
      <x:c r="D165" s="2" t="n">
        <x:v>1</x:v>
      </x:c>
      <x:c r="E165" s="9" t="n">
        <x:v>355374989312</x:v>
      </x:c>
      <x:c r="F165" s="10" t="n">
        <x:v>10.0004418</x:v>
      </x:c>
      <x:c r="G165" s="10" t="n">
        <x:f>E165/F165</x:f>
        <x:v>35535928953.85882</x:v>
      </x:c>
      <x:c r="H165" s="10"/>
      <x:c r="I165" s="2" t="str">
        <x:v>N.Neow:GPU(Dense)</x:v>
      </x:c>
      <x:c r="J165" s="9" t="n">
        <x:v>67108864</x:v>
      </x:c>
      <x:c r="K165" s="9" t="n">
        <x:v>0</x:v>
      </x:c>
      <x:c r="L165" s="9" t="n">
        <x:v>32</x:v>
      </x:c>
      <x:c r="M165" s="2" t="str">
        <x:v>9KT7EQEZ0000</x:v>
      </x:c>
      <x:c r="N165" s="2" t="n">
        <x:v>4096</x:v>
      </x:c>
    </x:row>
    <x:row r="166" ht="22" customHeight="1">
      <x:c r="A166" s="2" t="str">
        <x:v>resource15-variance-B-context6</x:v>
      </x:c>
      <x:c r="B166" s="2" t="str">
        <x:v>U01</x:v>
      </x:c>
      <x:c r="C166" s="2" t="str">
        <x:v>original</x:v>
      </x:c>
      <x:c r="D166" s="2" t="n">
        <x:v>1</x:v>
      </x:c>
      <x:c r="E166" s="9" t="n">
        <x:v>161547812864</x:v>
      </x:c>
      <x:c r="F166" s="10" t="n">
        <x:v>10.0003503</x:v>
      </x:c>
      <x:c r="G166" s="10" t="n">
        <x:f>E166/F166</x:f>
        <x:v>16154215404.23439</x:v>
      </x:c>
      <x:c r="H166" s="10"/>
      <x:c r="I166" s="2" t="str">
        <x:v>N.Neow:GPU(Dense)</x:v>
      </x:c>
      <x:c r="J166" s="9" t="n">
        <x:v>67108864</x:v>
      </x:c>
      <x:c r="K166" s="9" t="n">
        <x:v>0</x:v>
      </x:c>
      <x:c r="L166" s="9" t="n">
        <x:v>32</x:v>
      </x:c>
      <x:c r="M166" s="2" t="str">
        <x:v>9KT7EQEZ0000</x:v>
      </x:c>
      <x:c r="N166" s="2" t="n">
        <x:v>4096</x:v>
      </x:c>
    </x:row>
    <x:row r="167" ht="22" customHeight="1">
      <x:c r="A167" s="2" t="str">
        <x:v>resource15-variance-B-context6</x:v>
      </x:c>
      <x:c r="B167" s="2" t="str">
        <x:v>U01</x:v>
      </x:c>
      <x:c r="C167" s="2" t="str">
        <x:v>optimized</x:v>
      </x:c>
      <x:c r="D167" s="2" t="n">
        <x:v>2</x:v>
      </x:c>
      <x:c r="E167" s="9" t="n">
        <x:v>352858406912</x:v>
      </x:c>
      <x:c r="F167" s="10" t="n">
        <x:v>10.0003252</x:v>
      </x:c>
      <x:c r="G167" s="10" t="n">
        <x:f>E167/F167</x:f>
        <x:v>35284693232.97606</x:v>
      </x:c>
      <x:c r="H167" s="10"/>
      <x:c r="I167" s="2" t="str">
        <x:v>N.Neow:GPU(Dense)</x:v>
      </x:c>
      <x:c r="J167" s="9" t="n">
        <x:v>67108864</x:v>
      </x:c>
      <x:c r="K167" s="9" t="n">
        <x:v>0</x:v>
      </x:c>
      <x:c r="L167" s="9" t="n">
        <x:v>32</x:v>
      </x:c>
      <x:c r="M167" s="2" t="str">
        <x:v>9KT7EQEZ0000</x:v>
      </x:c>
      <x:c r="N167" s="2" t="n">
        <x:v>4096</x:v>
      </x:c>
    </x:row>
    <x:row r="168" ht="22" customHeight="1">
      <x:c r="A168" s="2" t="str">
        <x:v>resource15-variance-B-context6</x:v>
      </x:c>
      <x:c r="B168" s="2" t="str">
        <x:v>U01</x:v>
      </x:c>
      <x:c r="C168" s="2" t="str">
        <x:v>original</x:v>
      </x:c>
      <x:c r="D168" s="2" t="n">
        <x:v>2</x:v>
      </x:c>
      <x:c r="E168" s="9" t="n">
        <x:v>159702319104</x:v>
      </x:c>
      <x:c r="F168" s="10" t="n">
        <x:v>10.0001072</x:v>
      </x:c>
      <x:c r="G168" s="10" t="n">
        <x:f>E168/F168</x:f>
        <x:v>15970060711.349174</x:v>
      </x:c>
      <x:c r="H168" s="10"/>
      <x:c r="I168" s="2" t="str">
        <x:v>N.Neow:GPU(Dense)</x:v>
      </x:c>
      <x:c r="J168" s="9" t="n">
        <x:v>67108864</x:v>
      </x:c>
      <x:c r="K168" s="9" t="n">
        <x:v>0</x:v>
      </x:c>
      <x:c r="L168" s="9" t="n">
        <x:v>32</x:v>
      </x:c>
      <x:c r="M168" s="2" t="str">
        <x:v>9KT7EQEZ0000</x:v>
      </x:c>
      <x:c r="N168" s="2" t="n">
        <x:v>4096</x:v>
      </x:c>
    </x:row>
    <x:row r="169" ht="22" customHeight="1">
      <x:c r="A169" s="2" t="str">
        <x:v>resource15-variance-B-context6</x:v>
      </x:c>
      <x:c r="B169" s="2" t="str">
        <x:v>F02</x:v>
      </x:c>
      <x:c r="C169" s="2" t="str">
        <x:v>optimized</x:v>
      </x:c>
      <x:c r="D169" s="2" t="n">
        <x:v>1</x:v>
      </x:c>
      <x:c r="E169" s="9" t="n">
        <x:v>1966080</x:v>
      </x:c>
      <x:c r="F169" s="10" t="n">
        <x:v>10.0428954</x:v>
      </x:c>
      <x:c r="G169" s="10" t="n">
        <x:f>E169/F169</x:f>
        <x:v>195768.24428540794</x:v>
      </x:c>
      <x:c r="H169" s="10"/>
      <x:c r="I169" s="2" t="str">
        <x:v>C.CombatReward:GPU(Dense)</x:v>
      </x:c>
      <x:c r="J169" s="9" t="n">
        <x:v>1048576</x:v>
      </x:c>
      <x:c r="K169" s="9" t="n">
        <x:v>8192</x:v>
      </x:c>
      <x:c r="L169" s="9" t="n">
        <x:v>32</x:v>
      </x:c>
      <x:c r="M169" s="2" t="str">
        <x:v>9KT7EQEZ0000</x:v>
      </x:c>
      <x:c r="N169" s="2" t="n">
        <x:v>4096</x:v>
      </x:c>
    </x:row>
    <x:row r="170" ht="22" customHeight="1">
      <x:c r="A170" s="2" t="str">
        <x:v>resource15-variance-B-context6</x:v>
      </x:c>
      <x:c r="B170" s="2" t="str">
        <x:v>F02</x:v>
      </x:c>
      <x:c r="C170" s="2" t="str">
        <x:v>original</x:v>
      </x:c>
      <x:c r="D170" s="2" t="n">
        <x:v>1</x:v>
      </x:c>
      <x:c r="E170" s="9" t="n">
        <x:v>2146304</x:v>
      </x:c>
      <x:c r="F170" s="10" t="n">
        <x:v>10.0156619</x:v>
      </x:c>
      <x:c r="G170" s="10" t="n">
        <x:f>E170/F170</x:f>
        <x:v>214294.77366842824</x:v>
      </x:c>
      <x:c r="H170" s="10"/>
      <x:c r="I170" s="2" t="str">
        <x:v>C.CombatReward:GPU(Dense)</x:v>
      </x:c>
      <x:c r="J170" s="9" t="n">
        <x:v>1048576</x:v>
      </x:c>
      <x:c r="K170" s="9" t="n">
        <x:v>8192</x:v>
      </x:c>
      <x:c r="L170" s="9" t="n">
        <x:v>32</x:v>
      </x:c>
      <x:c r="M170" s="2" t="str">
        <x:v>9KT7EQEZ0000</x:v>
      </x:c>
      <x:c r="N170" s="2" t="n">
        <x:v>4096</x:v>
      </x:c>
    </x:row>
    <x:row r="171" ht="22" customHeight="1">
      <x:c r="A171" s="2" t="str">
        <x:v>resource15-variance-B-context6</x:v>
      </x:c>
      <x:c r="B171" s="2" t="str">
        <x:v>F02</x:v>
      </x:c>
      <x:c r="C171" s="2" t="str">
        <x:v>optimized</x:v>
      </x:c>
      <x:c r="D171" s="2" t="n">
        <x:v>2</x:v>
      </x:c>
      <x:c r="E171" s="9" t="n">
        <x:v>1900544</x:v>
      </x:c>
      <x:c r="F171" s="10" t="n">
        <x:v>10.0260415</x:v>
      </x:c>
      <x:c r="G171" s="10" t="n">
        <x:f>E171/F171</x:f>
        <x:v>189560.75535893205</x:v>
      </x:c>
      <x:c r="H171" s="10"/>
      <x:c r="I171" s="2" t="str">
        <x:v>C.CombatReward:GPU(Dense)</x:v>
      </x:c>
      <x:c r="J171" s="9" t="n">
        <x:v>1048576</x:v>
      </x:c>
      <x:c r="K171" s="9" t="n">
        <x:v>8192</x:v>
      </x:c>
      <x:c r="L171" s="9" t="n">
        <x:v>32</x:v>
      </x:c>
      <x:c r="M171" s="2" t="str">
        <x:v>9KT7EQEZ0000</x:v>
      </x:c>
      <x:c r="N171" s="2" t="n">
        <x:v>4096</x:v>
      </x:c>
    </x:row>
    <x:row r="172" ht="22" customHeight="1">
      <x:c r="A172" s="2" t="str">
        <x:v>resource15-variance-B-context6</x:v>
      </x:c>
      <x:c r="B172" s="2" t="str">
        <x:v>F02</x:v>
      </x:c>
      <x:c r="C172" s="2" t="str">
        <x:v>original</x:v>
      </x:c>
      <x:c r="D172" s="2" t="n">
        <x:v>2</x:v>
      </x:c>
      <x:c r="E172" s="9" t="n">
        <x:v>2097152</x:v>
      </x:c>
      <x:c r="F172" s="10" t="n">
        <x:v>10.0385149</x:v>
      </x:c>
      <x:c r="G172" s="10" t="n">
        <x:f>E172/F172</x:f>
        <x:v>208910.58297876315</x:v>
      </x:c>
      <x:c r="H172" s="10"/>
      <x:c r="I172" s="2" t="str">
        <x:v>C.CombatReward:GPU(Dense)</x:v>
      </x:c>
      <x:c r="J172" s="9" t="n">
        <x:v>1048576</x:v>
      </x:c>
      <x:c r="K172" s="9" t="n">
        <x:v>8192</x:v>
      </x:c>
      <x:c r="L172" s="9" t="n">
        <x:v>32</x:v>
      </x:c>
      <x:c r="M172" s="2" t="str">
        <x:v>9KT7EQEZ0000</x:v>
      </x:c>
      <x:c r="N172" s="2" t="n">
        <x:v>4096</x:v>
      </x:c>
    </x:row>
    <x:row r="173" ht="22" customHeight="1">
      <x:c r="A173" s="2" t="str">
        <x:v>resource15-variance-B-context6</x:v>
      </x:c>
      <x:c r="B173" s="2" t="str">
        <x:v>F03</x:v>
      </x:c>
      <x:c r="C173" s="2" t="str">
        <x:v>optimized</x:v>
      </x:c>
      <x:c r="D173" s="2" t="n">
        <x:v>1</x:v>
      </x:c>
      <x:c r="E173" s="9" t="n">
        <x:v>9846784</x:v>
      </x:c>
      <x:c r="F173" s="10" t="n">
        <x:v>10.0029508</x:v>
      </x:c>
      <x:c r="G173" s="10" t="n">
        <x:f>E173/F173</x:f>
        <x:v>984387.9268105567</x:v>
      </x:c>
      <x:c r="H173" s="10"/>
      <x:c r="I173" s="2" t="str">
        <x:v>E.EventResult:GPU(Dense)</x:v>
      </x:c>
      <x:c r="J173" s="9" t="n">
        <x:v>8388608</x:v>
      </x:c>
      <x:c r="K173" s="9" t="n">
        <x:v>8192</x:v>
      </x:c>
      <x:c r="L173" s="9" t="n">
        <x:v>32</x:v>
      </x:c>
      <x:c r="M173" s="2" t="str">
        <x:v>9KT7EQEZ0000</x:v>
      </x:c>
      <x:c r="N173" s="2" t="n">
        <x:v>4096</x:v>
      </x:c>
    </x:row>
    <x:row r="174" ht="22" customHeight="1">
      <x:c r="A174" s="2" t="str">
        <x:v>resource15-variance-B-context6</x:v>
      </x:c>
      <x:c r="B174" s="2" t="str">
        <x:v>F03</x:v>
      </x:c>
      <x:c r="C174" s="2" t="str">
        <x:v>original</x:v>
      </x:c>
      <x:c r="D174" s="2" t="n">
        <x:v>1</x:v>
      </x:c>
      <x:c r="E174" s="9" t="n">
        <x:v>19734528</x:v>
      </x:c>
      <x:c r="F174" s="10" t="n">
        <x:v>10.0077985</x:v>
      </x:c>
      <x:c r="G174" s="10" t="n">
        <x:f>E174/F174</x:f>
        <x:v>1971915.0020856236</x:v>
      </x:c>
      <x:c r="H174" s="10"/>
      <x:c r="I174" s="2" t="str">
        <x:v>E.EventResult:GPU(Dense)</x:v>
      </x:c>
      <x:c r="J174" s="9" t="n">
        <x:v>8388608</x:v>
      </x:c>
      <x:c r="K174" s="9" t="n">
        <x:v>8192</x:v>
      </x:c>
      <x:c r="L174" s="9" t="n">
        <x:v>32</x:v>
      </x:c>
      <x:c r="M174" s="2" t="str">
        <x:v>9KT7EQEZ0000</x:v>
      </x:c>
      <x:c r="N174" s="2" t="n">
        <x:v>4096</x:v>
      </x:c>
    </x:row>
    <x:row r="175" ht="22" customHeight="1">
      <x:c r="A175" s="2" t="str">
        <x:v>resource15-variance-B-context6</x:v>
      </x:c>
      <x:c r="B175" s="2" t="str">
        <x:v>F03</x:v>
      </x:c>
      <x:c r="C175" s="2" t="str">
        <x:v>optimized</x:v>
      </x:c>
      <x:c r="D175" s="2" t="n">
        <x:v>2</x:v>
      </x:c>
      <x:c r="E175" s="9" t="n">
        <x:v>9822208</x:v>
      </x:c>
      <x:c r="F175" s="10" t="n">
        <x:v>10.0030961</x:v>
      </x:c>
      <x:c r="G175" s="10" t="n">
        <x:f>E175/F175</x:f>
        <x:v>981916.7887430373</x:v>
      </x:c>
      <x:c r="H175" s="10"/>
      <x:c r="I175" s="2" t="str">
        <x:v>E.EventResult:GPU(Dense)</x:v>
      </x:c>
      <x:c r="J175" s="9" t="n">
        <x:v>8388608</x:v>
      </x:c>
      <x:c r="K175" s="9" t="n">
        <x:v>8192</x:v>
      </x:c>
      <x:c r="L175" s="9" t="n">
        <x:v>32</x:v>
      </x:c>
      <x:c r="M175" s="2" t="str">
        <x:v>9KT7EQEZ0000</x:v>
      </x:c>
      <x:c r="N175" s="2" t="n">
        <x:v>4096</x:v>
      </x:c>
    </x:row>
    <x:row r="176" ht="22" customHeight="1">
      <x:c r="A176" s="2" t="str">
        <x:v>resource15-variance-B-context6</x:v>
      </x:c>
      <x:c r="B176" s="2" t="str">
        <x:v>F03</x:v>
      </x:c>
      <x:c r="C176" s="2" t="str">
        <x:v>original</x:v>
      </x:c>
      <x:c r="D176" s="2" t="n">
        <x:v>2</x:v>
      </x:c>
      <x:c r="E176" s="9" t="n">
        <x:v>19628032</x:v>
      </x:c>
      <x:c r="F176" s="10" t="n">
        <x:v>10.0007715</x:v>
      </x:c>
      <x:c r="G176" s="10" t="n">
        <x:f>E176/F176</x:f>
        <x:v>1962651.7814150637</x:v>
      </x:c>
      <x:c r="H176" s="10"/>
      <x:c r="I176" s="2" t="str">
        <x:v>E.EventResult:GPU(Dense)</x:v>
      </x:c>
      <x:c r="J176" s="9" t="n">
        <x:v>8388608</x:v>
      </x:c>
      <x:c r="K176" s="9" t="n">
        <x:v>8192</x:v>
      </x:c>
      <x:c r="L176" s="9" t="n">
        <x:v>32</x:v>
      </x:c>
      <x:c r="M176" s="2" t="str">
        <x:v>9KT7EQEZ0000</x:v>
      </x:c>
      <x:c r="N176" s="2" t="n">
        <x:v>4096</x:v>
      </x:c>
    </x:row>
    <x:row r="177" ht="22" customHeight="1">
      <x:c r="A177" s="2" t="str">
        <x:v>resource15-variance-B-context6</x:v>
      </x:c>
      <x:c r="B177" s="2" t="str">
        <x:v>F04</x:v>
      </x:c>
      <x:c r="C177" s="2" t="str">
        <x:v>optimized</x:v>
      </x:c>
      <x:c r="D177" s="2" t="n">
        <x:v>1</x:v>
      </x:c>
      <x:c r="E177" s="9" t="n">
        <x:v>14655488</x:v>
      </x:c>
      <x:c r="F177" s="10" t="n">
        <x:v>10.0008221</x:v>
      </x:c>
      <x:c r="G177" s="10" t="n">
        <x:f>E177/F177</x:f>
        <x:v>1465428.327137226</x:v>
      </x:c>
      <x:c r="H177" s="10"/>
      <x:c r="I177" s="2" t="str">
        <x:v>W.World:GPU(Dense)</x:v>
      </x:c>
      <x:c r="J177" s="9" t="n">
        <x:v>8192</x:v>
      </x:c>
      <x:c r="K177" s="9" t="n">
        <x:v>8192</x:v>
      </x:c>
      <x:c r="L177" s="9" t="n">
        <x:v>32</x:v>
      </x:c>
      <x:c r="M177" s="2" t="str">
        <x:v>9KT7EQEZ0000</x:v>
      </x:c>
      <x:c r="N177" s="2" t="n">
        <x:v>4096</x:v>
      </x:c>
    </x:row>
    <x:row r="178" ht="22" customHeight="1">
      <x:c r="A178" s="2" t="str">
        <x:v>resource15-variance-B-context6</x:v>
      </x:c>
      <x:c r="B178" s="2" t="str">
        <x:v>F04</x:v>
      </x:c>
      <x:c r="C178" s="2" t="str">
        <x:v>original</x:v>
      </x:c>
      <x:c r="D178" s="2" t="n">
        <x:v>1</x:v>
      </x:c>
      <x:c r="E178" s="9" t="n">
        <x:v>2023424</x:v>
      </x:c>
      <x:c r="F178" s="10" t="n">
        <x:v>10.0008243</x:v>
      </x:c>
      <x:c r="G178" s="10" t="n">
        <x:f>E178/F178</x:f>
        <x:v>202325.7222907116</x:v>
      </x:c>
      <x:c r="H178" s="10"/>
      <x:c r="I178" s="2" t="str">
        <x:v>W.World:GPU(Dense)</x:v>
      </x:c>
      <x:c r="J178" s="9" t="n">
        <x:v>8192</x:v>
      </x:c>
      <x:c r="K178" s="9" t="n">
        <x:v>8192</x:v>
      </x:c>
      <x:c r="L178" s="9" t="n">
        <x:v>32</x:v>
      </x:c>
      <x:c r="M178" s="2" t="str">
        <x:v>9KT7EQEZ0000</x:v>
      </x:c>
      <x:c r="N178" s="2" t="n">
        <x:v>4096</x:v>
      </x:c>
    </x:row>
    <x:row r="179" ht="22" customHeight="1">
      <x:c r="A179" s="2" t="str">
        <x:v>resource15-variance-B-context6</x:v>
      </x:c>
      <x:c r="B179" s="2" t="str">
        <x:v>F04</x:v>
      </x:c>
      <x:c r="C179" s="2" t="str">
        <x:v>optimized</x:v>
      </x:c>
      <x:c r="D179" s="2" t="n">
        <x:v>2</x:v>
      </x:c>
      <x:c r="E179" s="9" t="n">
        <x:v>14196736</x:v>
      </x:c>
      <x:c r="F179" s="10" t="n">
        <x:v>10.0048032</x:v>
      </x:c>
      <x:c r="G179" s="10" t="n">
        <x:f>E179/F179</x:f>
        <x:v>1418992.0297482715</x:v>
      </x:c>
      <x:c r="H179" s="10"/>
      <x:c r="I179" s="2" t="str">
        <x:v>W.World:GPU(Dense)</x:v>
      </x:c>
      <x:c r="J179" s="9" t="n">
        <x:v>8192</x:v>
      </x:c>
      <x:c r="K179" s="9" t="n">
        <x:v>8192</x:v>
      </x:c>
      <x:c r="L179" s="9" t="n">
        <x:v>32</x:v>
      </x:c>
      <x:c r="M179" s="2" t="str">
        <x:v>9KT7EQEZ0000</x:v>
      </x:c>
      <x:c r="N179" s="2" t="n">
        <x:v>4096</x:v>
      </x:c>
    </x:row>
    <x:row r="180" ht="22" customHeight="1">
      <x:c r="A180" s="2" t="str">
        <x:v>resource15-variance-B-context6</x:v>
      </x:c>
      <x:c r="B180" s="2" t="str">
        <x:v>F04</x:v>
      </x:c>
      <x:c r="C180" s="2" t="str">
        <x:v>original</x:v>
      </x:c>
      <x:c r="D180" s="2" t="n">
        <x:v>2</x:v>
      </x:c>
      <x:c r="E180" s="9" t="n">
        <x:v>2056192</x:v>
      </x:c>
      <x:c r="F180" s="10" t="n">
        <x:v>10.0018098</x:v>
      </x:c>
      <x:c r="G180" s="10" t="n">
        <x:f>E180/F180</x:f>
        <x:v>205581.99377076735</x:v>
      </x:c>
      <x:c r="H180" s="10"/>
      <x:c r="I180" s="2" t="str">
        <x:v>W.World:GPU(Dense)</x:v>
      </x:c>
      <x:c r="J180" s="9" t="n">
        <x:v>8192</x:v>
      </x:c>
      <x:c r="K180" s="9" t="n">
        <x:v>8192</x:v>
      </x:c>
      <x:c r="L180" s="9" t="n">
        <x:v>32</x:v>
      </x:c>
      <x:c r="M180" s="2" t="str">
        <x:v>9KT7EQEZ0000</x:v>
      </x:c>
      <x:c r="N180" s="2" t="n">
        <x:v>4096</x:v>
      </x:c>
    </x:row>
    <x:row r="181" ht="22" customHeight="1">
      <x:c r="A181" s="2" t="str">
        <x:v>resource15-variance-B-context6</x:v>
      </x:c>
      <x:c r="B181" s="2" t="str">
        <x:v>F06</x:v>
      </x:c>
      <x:c r="C181" s="2" t="str">
        <x:v>optimized</x:v>
      </x:c>
      <x:c r="D181" s="2" t="n">
        <x:v>1</x:v>
      </x:c>
      <x:c r="E181" s="9" t="n">
        <x:v>14319616</x:v>
      </x:c>
      <x:c r="F181" s="10" t="n">
        <x:v>10.0013466</x:v>
      </x:c>
      <x:c r="G181" s="10" t="n">
        <x:f>E181/F181</x:f>
        <x:v>1431768.7980136594</x:v>
      </x:c>
      <x:c r="H181" s="10"/>
      <x:c r="I181" s="2" t="str">
        <x:v>T.TransformationAggregate:GPU(Dense)</x:v>
      </x:c>
      <x:c r="J181" s="9" t="n">
        <x:v>8388608</x:v>
      </x:c>
      <x:c r="K181" s="9" t="n">
        <x:v>8192</x:v>
      </x:c>
      <x:c r="L181" s="9" t="n">
        <x:v>32</x:v>
      </x:c>
      <x:c r="M181" s="2" t="str">
        <x:v>9KT7EQEZ0000</x:v>
      </x:c>
      <x:c r="N181" s="2" t="n">
        <x:v>4096</x:v>
      </x:c>
    </x:row>
    <x:row r="182" ht="22" customHeight="1">
      <x:c r="A182" s="2" t="str">
        <x:v>resource15-variance-B-context6</x:v>
      </x:c>
      <x:c r="B182" s="2" t="str">
        <x:v>F06</x:v>
      </x:c>
      <x:c r="C182" s="2" t="str">
        <x:v>original</x:v>
      </x:c>
      <x:c r="D182" s="2" t="n">
        <x:v>1</x:v>
      </x:c>
      <x:c r="E182" s="9" t="n">
        <x:v>28172288</x:v>
      </x:c>
      <x:c r="F182" s="10" t="n">
        <x:v>10.0014554</x:v>
      </x:c>
      <x:c r="G182" s="10" t="n">
        <x:f>E182/F182</x:f>
        <x:v>2816818.8401859994</x:v>
      </x:c>
      <x:c r="H182" s="10"/>
      <x:c r="I182" s="2" t="str">
        <x:v>T.TransformationAggregate:CPU(Dense)</x:v>
      </x:c>
      <x:c r="J182" s="9" t="n">
        <x:v>8388608</x:v>
      </x:c>
      <x:c r="K182" s="9" t="n">
        <x:v>8192</x:v>
      </x:c>
      <x:c r="L182" s="9" t="n">
        <x:v>32</x:v>
      </x:c>
      <x:c r="M182" s="2" t="str">
        <x:v>9KT7EQEZ0000</x:v>
      </x:c>
      <x:c r="N182" s="2" t="n">
        <x:v>4096</x:v>
      </x:c>
    </x:row>
    <x:row r="183" ht="22" customHeight="1">
      <x:c r="A183" s="2" t="str">
        <x:v>resource15-variance-B-context6</x:v>
      </x:c>
      <x:c r="B183" s="2" t="str">
        <x:v>F06</x:v>
      </x:c>
      <x:c r="C183" s="2" t="str">
        <x:v>optimized</x:v>
      </x:c>
      <x:c r="D183" s="2" t="n">
        <x:v>2</x:v>
      </x:c>
      <x:c r="E183" s="9" t="n">
        <x:v>14114816</x:v>
      </x:c>
      <x:c r="F183" s="10" t="n">
        <x:v>10.0003108</x:v>
      </x:c>
      <x:c r="G183" s="10" t="n">
        <x:f>E183/F183</x:f>
        <x:v>1411437.7325152736</x:v>
      </x:c>
      <x:c r="H183" s="10"/>
      <x:c r="I183" s="2" t="str">
        <x:v>T.TransformationAggregate:GPU(Dense)</x:v>
      </x:c>
      <x:c r="J183" s="9" t="n">
        <x:v>8388608</x:v>
      </x:c>
      <x:c r="K183" s="9" t="n">
        <x:v>8192</x:v>
      </x:c>
      <x:c r="L183" s="9" t="n">
        <x:v>32</x:v>
      </x:c>
      <x:c r="M183" s="2" t="str">
        <x:v>9KT7EQEZ0000</x:v>
      </x:c>
      <x:c r="N183" s="2" t="n">
        <x:v>4096</x:v>
      </x:c>
    </x:row>
    <x:row r="184" ht="22" customHeight="1">
      <x:c r="A184" s="2" t="str">
        <x:v>resource15-variance-B-context6</x:v>
      </x:c>
      <x:c r="B184" s="2" t="str">
        <x:v>F06</x:v>
      </x:c>
      <x:c r="C184" s="2" t="str">
        <x:v>original</x:v>
      </x:c>
      <x:c r="D184" s="2" t="n">
        <x:v>2</x:v>
      </x:c>
      <x:c r="E184" s="9" t="n">
        <x:v>28295168</x:v>
      </x:c>
      <x:c r="F184" s="10" t="n">
        <x:v>10.0104323</x:v>
      </x:c>
      <x:c r="G184" s="10" t="n">
        <x:f>E184/F184</x:f>
        <x:v>2826568.0394242317</x:v>
      </x:c>
      <x:c r="H184" s="10"/>
      <x:c r="I184" s="2" t="str">
        <x:v>T.TransformationAggregate:CPU(Dense)</x:v>
      </x:c>
      <x:c r="J184" s="9" t="n">
        <x:v>8388608</x:v>
      </x:c>
      <x:c r="K184" s="9" t="n">
        <x:v>8192</x:v>
      </x:c>
      <x:c r="L184" s="9" t="n">
        <x:v>32</x:v>
      </x:c>
      <x:c r="M184" s="2" t="str">
        <x:v>9KT7EQEZ0000</x:v>
      </x:c>
      <x:c r="N184" s="2" t="n">
        <x:v>4096</x:v>
      </x:c>
    </x:row>
    <x:row r="185" ht="22" customHeight="1">
      <x:c r="A185" s="2" t="str">
        <x:v>resource15-variance-B-context6</x:v>
      </x:c>
      <x:c r="B185" s="2" t="str">
        <x:v>C01</x:v>
      </x:c>
      <x:c r="C185" s="2" t="str">
        <x:v>optimized</x:v>
      </x:c>
      <x:c r="D185" s="2" t="n">
        <x:v>1</x:v>
      </x:c>
      <x:c r="E185" s="9" t="n">
        <x:v>3991339008</x:v>
      </x:c>
      <x:c r="F185" s="10" t="n">
        <x:v>10.0001613</x:v>
      </x:c>
      <x:c r="G185" s="10" t="n">
        <x:f>E185/F185</x:f>
        <x:v>399127462.87402385</x:v>
      </x:c>
      <x:c r="H185" s="10"/>
      <x:c r="I185" s="2" t="str">
        <x:v>N.Neow:CPU(Dense) → R.Relic:CPU(CompactAbi1) → C.CombatReward:CPU(CompactAbi1)</x:v>
      </x:c>
      <x:c r="J185" s="9" t="n">
        <x:v>1048576</x:v>
      </x:c>
      <x:c r="K185" s="9" t="n">
        <x:v>0</x:v>
      </x:c>
      <x:c r="L185" s="9" t="n">
        <x:v>32</x:v>
      </x:c>
      <x:c r="M185" s="2" t="str">
        <x:v>9KT7EQEZ0000</x:v>
      </x:c>
      <x:c r="N185" s="2" t="n">
        <x:v>4096</x:v>
      </x:c>
    </x:row>
    <x:row r="186" ht="22" customHeight="1">
      <x:c r="A186" s="2" t="str">
        <x:v>resource15-variance-B-context6</x:v>
      </x:c>
      <x:c r="B186" s="2" t="str">
        <x:v>C01</x:v>
      </x:c>
      <x:c r="C186" s="2" t="str">
        <x:v>original</x:v>
      </x:c>
      <x:c r="D186" s="2" t="n">
        <x:v>1</x:v>
      </x:c>
      <x:c r="E186" s="9" t="n">
        <x:v>467140608</x:v>
      </x:c>
      <x:c r="F186" s="10" t="n">
        <x:v>10.0012454</x:v>
      </x:c>
      <x:c r="G186" s="10" t="n">
        <x:f>E186/F186</x:f>
        <x:v>46708243.75532271</x:v>
      </x:c>
      <x:c r="H186" s="10"/>
      <x:c r="I186" s="2" t="str">
        <x:v>N.Neow:CPU(Dense) → R.Relic:CPU(CompactAbi1) → C.CombatReward:CPU(CompactAbi1)</x:v>
      </x:c>
      <x:c r="J186" s="9" t="n">
        <x:v>1048576</x:v>
      </x:c>
      <x:c r="K186" s="9" t="n">
        <x:v>0</x:v>
      </x:c>
      <x:c r="L186" s="9" t="n">
        <x:v>32</x:v>
      </x:c>
      <x:c r="M186" s="2" t="str">
        <x:v>9KT7EQEZ0000</x:v>
      </x:c>
      <x:c r="N186" s="2" t="n">
        <x:v>4096</x:v>
      </x:c>
    </x:row>
    <x:row r="187" ht="22" customHeight="1">
      <x:c r="A187" s="2" t="str">
        <x:v>resource15-variance-B-context6</x:v>
      </x:c>
      <x:c r="B187" s="2" t="str">
        <x:v>C01</x:v>
      </x:c>
      <x:c r="C187" s="2" t="str">
        <x:v>optimized</x:v>
      </x:c>
      <x:c r="D187" s="2" t="n">
        <x:v>2</x:v>
      </x:c>
      <x:c r="E187" s="9" t="n">
        <x:v>3930718208</x:v>
      </x:c>
      <x:c r="F187" s="10" t="n">
        <x:v>10.0000255</x:v>
      </x:c>
      <x:c r="G187" s="10" t="n">
        <x:f>E187/F187</x:f>
        <x:v>393070818.4694129</x:v>
      </x:c>
      <x:c r="H187" s="10"/>
      <x:c r="I187" s="2" t="str">
        <x:v>N.Neow:CPU(Dense) → R.Relic:CPU(CompactAbi1) → C.CombatReward:CPU(CompactAbi1)</x:v>
      </x:c>
      <x:c r="J187" s="9" t="n">
        <x:v>1048576</x:v>
      </x:c>
      <x:c r="K187" s="9" t="n">
        <x:v>0</x:v>
      </x:c>
      <x:c r="L187" s="9" t="n">
        <x:v>32</x:v>
      </x:c>
      <x:c r="M187" s="2" t="str">
        <x:v>9KT7EQEZ0000</x:v>
      </x:c>
      <x:c r="N187" s="2" t="n">
        <x:v>4096</x:v>
      </x:c>
    </x:row>
    <x:row r="188" ht="22" customHeight="1">
      <x:c r="A188" s="2" t="str">
        <x:v>resource15-variance-B-context6</x:v>
      </x:c>
      <x:c r="B188" s="2" t="str">
        <x:v>C01</x:v>
      </x:c>
      <x:c r="C188" s="2" t="str">
        <x:v>original</x:v>
      </x:c>
      <x:c r="D188" s="2" t="n">
        <x:v>2</x:v>
      </x:c>
      <x:c r="E188" s="9" t="n">
        <x:v>472252416</x:v>
      </x:c>
      <x:c r="F188" s="10" t="n">
        <x:v>10.0005368</x:v>
      </x:c>
      <x:c r="G188" s="10" t="n">
        <x:f>E188/F188</x:f>
        <x:v>47222706.68510514</x:v>
      </x:c>
      <x:c r="H188" s="10"/>
      <x:c r="I188" s="2" t="str">
        <x:v>N.Neow:CPU(Dense) → R.Relic:CPU(CompactAbi1) → C.CombatReward:CPU(CompactAbi1)</x:v>
      </x:c>
      <x:c r="J188" s="9" t="n">
        <x:v>1048576</x:v>
      </x:c>
      <x:c r="K188" s="9" t="n">
        <x:v>0</x:v>
      </x:c>
      <x:c r="L188" s="9" t="n">
        <x:v>32</x:v>
      </x:c>
      <x:c r="M188" s="2" t="str">
        <x:v>9KT7EQEZ0000</x:v>
      </x:c>
      <x:c r="N188" s="2" t="n">
        <x:v>4096</x:v>
      </x:c>
    </x:row>
    <x:row r="189" ht="22" customHeight="1">
      <x:c r="A189" s="2" t="str">
        <x:v>resource15-same-dll-consumer-causality</x:v>
      </x:c>
      <x:c r="B189" s="2" t="str">
        <x:v>U01</x:v>
      </x:c>
      <x:c r="C189" s="2" t="str">
        <x:v>frame30</x:v>
      </x:c>
      <x:c r="D189" s="2" t="n">
        <x:v>1</x:v>
      </x:c>
      <x:c r="E189" s="9" t="n">
        <x:v>365575536640</x:v>
      </x:c>
      <x:c r="F189" s="10" t="n">
        <x:v>10.0007496</x:v>
      </x:c>
      <x:c r="G189" s="10" t="n">
        <x:f>E189/F189</x:f>
        <x:v>36554813515.1789</x:v>
      </x:c>
      <x:c r="H189" s="10" t="n">
        <x:v>29.99775136855741</x:v>
      </x:c>
      <x:c r="I189" s="2" t="str">
        <x:v>N.Neow / Dense / N.Neow.Gpu.LocalDonor.LeafyPreGate.DensePreBonesCarry8.CanonicalAbi1Ready.20260906.v1.PackedPublicOrdinals.20260930.v1.ZeroUsedDirectIndex.20260930.v1.KaleidoscopeFirstGroupReject.20260930.v1.CapacityDirectControl.20261021.v1.DoubleWindowHeaderBank.20261021.v1.PreSubmitHeaderDownload.20261021.v1.AdaptiveSparsePayload4KiB.Lease64.FastDormant.20261022.v3.LeafyGateLazyFirstDraw.20261021.v1.PrefixHashBlock34Pow4.20261021.v1.StaticDrawIntervals53.20261021.v1.Curse.Leafy.InternalFilterOrder.FinalCurseBeforeIdentity.DenseCompaction.20261022.v1.GroupOutput.Shared512.20261022.v1 / True</x:v>
      </x:c>
      <x:c r="J189" s="9" t="n">
        <x:v>67108864</x:v>
      </x:c>
      <x:c r="K189" s="9" t="n">
        <x:v>0</x:v>
      </x:c>
      <x:c r="L189" s="9" t="n">
        <x:v>32</x:v>
      </x:c>
      <x:c r="M189" s="2" t="str">
        <x:v>9KT7EQEZ0000</x:v>
      </x:c>
      <x:c r="N189" s="2" t="n">
        <x:v>4096</x:v>
      </x:c>
    </x:row>
    <x:row r="190" ht="22" customHeight="1">
      <x:c r="A190" s="2" t="str">
        <x:v>resource15-same-dll-consumer-causality</x:v>
      </x:c>
      <x:c r="B190" s="2" t="str">
        <x:v>U01</x:v>
      </x:c>
      <x:c r="C190" s="2" t="str">
        <x:v>frame30</x:v>
      </x:c>
      <x:c r="D190" s="2" t="n">
        <x:v>2</x:v>
      </x:c>
      <x:c r="E190" s="9" t="n">
        <x:v>363025399808</x:v>
      </x:c>
      <x:c r="F190" s="10" t="n">
        <x:v>10.0002126</x:v>
      </x:c>
      <x:c r="G190" s="10" t="n">
        <x:f>E190/F190</x:f>
        <x:v>36301768205.20796</x:v>
      </x:c>
      <x:c r="H190" s="10" t="n">
        <x:v>29.99936221355934</x:v>
      </x:c>
      <x:c r="I190" s="2" t="str">
        <x:v>N.Neow / Dense / N.Neow.Gpu.LocalDonor.LeafyPreGate.DensePreBonesCarry8.CanonicalAbi1Ready.20260906.v1.PackedPublicOrdinals.20260930.v1.ZeroUsedDirectIndex.20260930.v1.KaleidoscopeFirstGroupReject.20260930.v1.CapacityDirectControl.20261021.v1.DoubleWindowHeaderBank.20261021.v1.PreSubmitHeaderDownload.20261021.v1.AdaptiveSparsePayload4KiB.Lease64.FastDormant.20261022.v3.LeafyGateLazyFirstDraw.20261021.v1.PrefixHashBlock34Pow4.20261021.v1.StaticDrawIntervals53.20261021.v1.Curse.Leafy.InternalFilterOrder.FinalCurseBeforeIdentity.DenseCompaction.20261022.v1.GroupOutput.Shared512.20261022.v1 / True</x:v>
      </x:c>
      <x:c r="J190" s="9" t="n">
        <x:v>67108864</x:v>
      </x:c>
      <x:c r="K190" s="9" t="n">
        <x:v>0</x:v>
      </x:c>
      <x:c r="L190" s="9" t="n">
        <x:v>32</x:v>
      </x:c>
      <x:c r="M190" s="2" t="str">
        <x:v>9KT7EQEZ0000</x:v>
      </x:c>
      <x:c r="N190" s="2" t="n">
        <x:v>4096</x:v>
      </x:c>
    </x:row>
    <x:row r="191" ht="22" customHeight="1">
      <x:c r="A191" s="2" t="str">
        <x:v>resource15-same-dll-consumer-causality</x:v>
      </x:c>
      <x:c r="B191" s="2" t="str">
        <x:v>U01</x:v>
      </x:c>
      <x:c r="C191" s="2" t="str">
        <x:v>frame60</x:v>
      </x:c>
      <x:c r="D191" s="2" t="n">
        <x:v>1</x:v>
      </x:c>
      <x:c r="E191" s="9" t="n">
        <x:v>355643424768</x:v>
      </x:c>
      <x:c r="F191" s="10" t="n">
        <x:v>10.0003726</x:v>
      </x:c>
      <x:c r="G191" s="10" t="n">
        <x:f>E191/F191</x:f>
        <x:v>35563017398.77172</x:v>
      </x:c>
      <x:c r="H191" s="10" t="n">
        <x:v>59.7977719350177</x:v>
      </x:c>
      <x:c r="I191" s="2" t="str">
        <x:v>N.Neow / Dense / N.Neow.Gpu.LocalDonor.LeafyPreGate.DensePreBonesCarry8.CanonicalAbi1Ready.20260906.v1.PackedPublicOrdinals.20260930.v1.ZeroUsedDirectIndex.20260930.v1.KaleidoscopeFirstGroupReject.20260930.v1.CapacityDirectControl.20261021.v1.DoubleWindowHeaderBank.20261021.v1.PreSubmitHeaderDownload.20261021.v1.AdaptiveSparsePayload4KiB.Lease64.FastDormant.20261022.v3.LeafyGateLazyFirstDraw.20261021.v1.PrefixHashBlock34Pow4.20261021.v1.StaticDrawIntervals53.20261021.v1.Curse.Leafy.InternalFilterOrder.FinalCurseBeforeIdentity.DenseCompaction.20261022.v1.GroupOutput.Shared512.20261022.v1 / True</x:v>
      </x:c>
      <x:c r="J191" s="9" t="n">
        <x:v>67108864</x:v>
      </x:c>
      <x:c r="K191" s="9" t="n">
        <x:v>0</x:v>
      </x:c>
      <x:c r="L191" s="9" t="n">
        <x:v>32</x:v>
      </x:c>
      <x:c r="M191" s="2" t="str">
        <x:v>9KT7EQEZ0000</x:v>
      </x:c>
      <x:c r="N191" s="2" t="n">
        <x:v>4096</x:v>
      </x:c>
    </x:row>
    <x:row r="192" ht="22" customHeight="1">
      <x:c r="A192" s="2" t="str">
        <x:v>resource15-same-dll-consumer-causality</x:v>
      </x:c>
      <x:c r="B192" s="2" t="str">
        <x:v>U01</x:v>
      </x:c>
      <x:c r="C192" s="2" t="str">
        <x:v>frame60</x:v>
      </x:c>
      <x:c r="D192" s="2" t="n">
        <x:v>2</x:v>
      </x:c>
      <x:c r="E192" s="9" t="n">
        <x:v>350778032128</x:v>
      </x:c>
      <x:c r="F192" s="10" t="n">
        <x:v>10.0008821</x:v>
      </x:c>
      <x:c r="G192" s="10" t="n">
        <x:f>E192/F192</x:f>
        <x:v>35074709272.69505</x:v>
      </x:c>
      <x:c r="H192" s="10" t="n">
        <x:v>59.794725507263</x:v>
      </x:c>
      <x:c r="I192" s="2" t="str">
        <x:v>N.Neow / Dense / N.Neow.Gpu.LocalDonor.LeafyPreGate.DensePreBonesCarry8.CanonicalAbi1Ready.20260906.v1.PackedPublicOrdinals.20260930.v1.ZeroUsedDirectIndex.20260930.v1.KaleidoscopeFirstGroupReject.20260930.v1.CapacityDirectControl.20261021.v1.DoubleWindowHeaderBank.20261021.v1.PreSubmitHeaderDownload.20261021.v1.AdaptiveSparsePayload4KiB.Lease64.FastDormant.20261022.v3.LeafyGateLazyFirstDraw.20261021.v1.PrefixHashBlock34Pow4.20261021.v1.StaticDrawIntervals53.20261021.v1.Curse.Leafy.InternalFilterOrder.FinalCurseBeforeIdentity.DenseCompaction.20261022.v1.GroupOutput.Shared512.20261022.v1 / True</x:v>
      </x:c>
      <x:c r="J192" s="9" t="n">
        <x:v>67108864</x:v>
      </x:c>
      <x:c r="K192" s="9" t="n">
        <x:v>0</x:v>
      </x:c>
      <x:c r="L192" s="9" t="n">
        <x:v>32</x:v>
      </x:c>
      <x:c r="M192" s="2" t="str">
        <x:v>9KT7EQEZ0000</x:v>
      </x:c>
      <x:c r="N192" s="2" t="n">
        <x:v>4096</x:v>
      </x:c>
    </x:row>
    <x:row r="193" ht="22" customHeight="1">
      <x:c r="A193" s="2" t="str">
        <x:v>resource15-same-dll-consumer-causality</x:v>
      </x:c>
      <x:c r="B193" s="2" t="str">
        <x:v>U01</x:v>
      </x:c>
      <x:c r="C193" s="2" t="str">
        <x:v>continuous30</x:v>
      </x:c>
      <x:c r="D193" s="2" t="n">
        <x:v>1</x:v>
      </x:c>
      <x:c r="E193" s="9" t="n">
        <x:v>366682832896</x:v>
      </x:c>
      <x:c r="F193" s="10" t="n">
        <x:v>10.0008163</x:v>
      </x:c>
      <x:c r="G193" s="10" t="n">
        <x:f>E193/F193</x:f>
        <x:v>36665290301.95265</x:v>
      </x:c>
      <x:c r="H193" s="10" t="n">
        <x:v>29.997551299887387</x:v>
      </x:c>
      <x:c r="I193" s="2" t="str">
        <x:v>N.Neow / Dense / N.Neow.Gpu.LocalDonor.LeafyPreGate.DensePreBonesCarry8.CanonicalAbi1Ready.20260906.v1.PackedPublicOrdinals.20260930.v1.ZeroUsedDirectIndex.20260930.v1.KaleidoscopeFirstGroupReject.20260930.v1.CapacityDirectControl.20261021.v1.DoubleWindowHeaderBank.20261021.v1.PreSubmitHeaderDownload.20261021.v1.AdaptiveSparsePayload4KiB.Lease64.FastDormant.20261022.v3.LeafyGateLazyFirstDraw.20261021.v1.PrefixHashBlock34Pow4.20261021.v1.StaticDrawIntervals53.20261021.v1.Curse.Leafy.InternalFilterOrder.FinalCurseBeforeIdentity.DenseCompaction.20261022.v1.GroupOutput.Shared512.20261022.v1 / True</x:v>
      </x:c>
      <x:c r="J193" s="9" t="n">
        <x:v>67108864</x:v>
      </x:c>
      <x:c r="K193" s="9" t="n">
        <x:v>0</x:v>
      </x:c>
      <x:c r="L193" s="9" t="n">
        <x:v>32</x:v>
      </x:c>
      <x:c r="M193" s="2" t="str">
        <x:v>9KT7EQEZ0000</x:v>
      </x:c>
      <x:c r="N193" s="2" t="n">
        <x:v>4096</x:v>
      </x:c>
    </x:row>
    <x:row r="194" ht="22" customHeight="1">
      <x:c r="A194" s="2" t="str">
        <x:v>resource15-same-dll-consumer-causality</x:v>
      </x:c>
      <x:c r="B194" s="2" t="str">
        <x:v>U01</x:v>
      </x:c>
      <x:c r="C194" s="2" t="str">
        <x:v>continuous30</x:v>
      </x:c>
      <x:c r="D194" s="2" t="n">
        <x:v>2</x:v>
      </x:c>
      <x:c r="E194" s="9" t="n">
        <x:v>359737065472</x:v>
      </x:c>
      <x:c r="F194" s="10" t="n">
        <x:v>10.0001974</x:v>
      </x:c>
      <x:c r="G194" s="10" t="n">
        <x:f>E194/F194</x:f>
        <x:v>35972996440.250275</x:v>
      </x:c>
      <x:c r="H194" s="10" t="n">
        <x:v>29.9994078116898</x:v>
      </x:c>
      <x:c r="I194" s="2" t="str">
        <x:v>N.Neow / Dense / N.Neow.Gpu.LocalDonor.LeafyPreGate.DensePreBonesCarry8.CanonicalAbi1Ready.20260906.v1.PackedPublicOrdinals.20260930.v1.ZeroUsedDirectIndex.20260930.v1.KaleidoscopeFirstGroupReject.20260930.v1.CapacityDirectControl.20261021.v1.DoubleWindowHeaderBank.20261021.v1.PreSubmitHeaderDownload.20261021.v1.AdaptiveSparsePayload4KiB.Lease64.FastDormant.20261022.v3.LeafyGateLazyFirstDraw.20261021.v1.PrefixHashBlock34Pow4.20261021.v1.StaticDrawIntervals53.20261021.v1.Curse.Leafy.InternalFilterOrder.FinalCurseBeforeIdentity.DenseCompaction.20261022.v1.GroupOutput.Shared512.20261022.v1 / True</x:v>
      </x:c>
      <x:c r="J194" s="9" t="n">
        <x:v>67108864</x:v>
      </x:c>
      <x:c r="K194" s="9" t="n">
        <x:v>0</x:v>
      </x:c>
      <x:c r="L194" s="9" t="n">
        <x:v>32</x:v>
      </x:c>
      <x:c r="M194" s="2" t="str">
        <x:v>9KT7EQEZ0000</x:v>
      </x:c>
      <x:c r="N194" s="2" t="n">
        <x:v>4096</x:v>
      </x:c>
    </x:row>
    <x:row r="195" ht="22" customHeight="1">
      <x:c r="A195" s="2" t="str">
        <x:v>resource15-same-dll-consumer-causality</x:v>
      </x:c>
      <x:c r="B195" s="2" t="str">
        <x:v>F03</x:v>
      </x:c>
      <x:c r="C195" s="2" t="str">
        <x:v>frame30</x:v>
      </x:c>
      <x:c r="D195" s="2" t="n">
        <x:v>1</x:v>
      </x:c>
      <x:c r="E195" s="9" t="n">
        <x:v>10297344</x:v>
      </x:c>
      <x:c r="F195" s="10" t="n">
        <x:v>10.0024317</x:v>
      </x:c>
      <x:c r="G195" s="10" t="n">
        <x:f>E195/F195</x:f>
        <x:v>1029484.0603610419</x:v>
      </x:c>
      <x:c r="H195" s="10" t="n">
        <x:v>29.9927066735182</x:v>
      </x:c>
      <x:c r="I195" s="2" t="str">
        <x:v>E.EventResult / Dense / E.EventResult.Gpu.Whitelist.Dense.CanonicalAbi1Ready.20260919.v1.SharedVisiblePrefix34Pow4.20261021.v1.HeaderTransport.20261022.v1.PreSubmitHeaderDownload.20261021.v1 / True</x:v>
      </x:c>
      <x:c r="J195" s="9" t="n">
        <x:v>8192</x:v>
      </x:c>
      <x:c r="K195" s="9" t="n">
        <x:v>8192</x:v>
      </x:c>
      <x:c r="L195" s="9" t="n">
        <x:v>32</x:v>
      </x:c>
      <x:c r="M195" s="2" t="str">
        <x:v>9KT7EQEZ0000</x:v>
      </x:c>
      <x:c r="N195" s="2" t="n">
        <x:v>4096</x:v>
      </x:c>
    </x:row>
    <x:row r="196" ht="22" customHeight="1">
      <x:c r="A196" s="2" t="str">
        <x:v>resource15-same-dll-consumer-causality</x:v>
      </x:c>
      <x:c r="B196" s="2" t="str">
        <x:v>F03</x:v>
      </x:c>
      <x:c r="C196" s="2" t="str">
        <x:v>frame30</x:v>
      </x:c>
      <x:c r="D196" s="2" t="n">
        <x:v>2</x:v>
      </x:c>
      <x:c r="E196" s="9" t="n">
        <x:v>10018816</x:v>
      </x:c>
      <x:c r="F196" s="10" t="n">
        <x:v>10.0179706</x:v>
      </x:c>
      <x:c r="G196" s="10" t="n">
        <x:f>E196/F196</x:f>
        <x:v>1000084.3883490735</x:v>
      </x:c>
      <x:c r="H196" s="10" t="n">
        <x:v>30.046005525310687</x:v>
      </x:c>
      <x:c r="I196" s="2" t="str">
        <x:v>E.EventResult / Dense / E.EventResult.Gpu.Whitelist.Dense.CanonicalAbi1Ready.20260919.v1.SharedVisiblePrefix34Pow4.20261021.v1.HeaderTransport.20261022.v1.PreSubmitHeaderDownload.20261021.v1 / True</x:v>
      </x:c>
      <x:c r="J196" s="9" t="n">
        <x:v>8192</x:v>
      </x:c>
      <x:c r="K196" s="9" t="n">
        <x:v>8192</x:v>
      </x:c>
      <x:c r="L196" s="9" t="n">
        <x:v>32</x:v>
      </x:c>
      <x:c r="M196" s="2" t="str">
        <x:v>9KT7EQEZ0000</x:v>
      </x:c>
      <x:c r="N196" s="2" t="n">
        <x:v>4096</x:v>
      </x:c>
    </x:row>
    <x:row r="197" ht="22" customHeight="1">
      <x:c r="A197" s="2" t="str">
        <x:v>resource15-same-dll-consumer-causality</x:v>
      </x:c>
      <x:c r="B197" s="2" t="str">
        <x:v>F03</x:v>
      </x:c>
      <x:c r="C197" s="2" t="str">
        <x:v>frame60</x:v>
      </x:c>
      <x:c r="D197" s="2" t="n">
        <x:v>1</x:v>
      </x:c>
      <x:c r="E197" s="9" t="n">
        <x:v>19865600</x:v>
      </x:c>
      <x:c r="F197" s="10" t="n">
        <x:v>10.0033136</x:v>
      </x:c>
      <x:c r="G197" s="10" t="n">
        <x:f>E197/F197</x:f>
        <x:v>1985901.9515293413</x:v>
      </x:c>
      <x:c r="H197" s="10" t="n">
        <x:v>60.080091860761016</x:v>
      </x:c>
      <x:c r="I197" s="2" t="str">
        <x:v>E.EventResult / Dense / E.EventResult.Gpu.Whitelist.Dense.CanonicalAbi1Ready.20260919.v1.SharedVisiblePrefix34Pow4.20261021.v1.HeaderTransport.20261022.v1.PreSubmitHeaderDownload.20261021.v1 / True</x:v>
      </x:c>
      <x:c r="J197" s="9" t="n">
        <x:v>8192</x:v>
      </x:c>
      <x:c r="K197" s="9" t="n">
        <x:v>8192</x:v>
      </x:c>
      <x:c r="L197" s="9" t="n">
        <x:v>32</x:v>
      </x:c>
      <x:c r="M197" s="2" t="str">
        <x:v>9KT7EQEZ0000</x:v>
      </x:c>
      <x:c r="N197" s="2" t="n">
        <x:v>4096</x:v>
      </x:c>
    </x:row>
    <x:row r="198" ht="22" customHeight="1">
      <x:c r="A198" s="2" t="str">
        <x:v>resource15-same-dll-consumer-causality</x:v>
      </x:c>
      <x:c r="B198" s="2" t="str">
        <x:v>F03</x:v>
      </x:c>
      <x:c r="C198" s="2" t="str">
        <x:v>frame60</x:v>
      </x:c>
      <x:c r="D198" s="2" t="n">
        <x:v>2</x:v>
      </x:c>
      <x:c r="E198" s="9" t="n">
        <x:v>19972096</x:v>
      </x:c>
      <x:c r="F198" s="10" t="n">
        <x:v>10.0007086</x:v>
      </x:c>
      <x:c r="G198" s="10" t="n">
        <x:f>E198/F198</x:f>
        <x:v>1997068.0877553017</x:v>
      </x:c>
      <x:c r="H198" s="10" t="n">
        <x:v>59.99574870124703</x:v>
      </x:c>
      <x:c r="I198" s="2" t="str">
        <x:v>E.EventResult / Dense / E.EventResult.Gpu.Whitelist.Dense.CanonicalAbi1Ready.20260919.v1.SharedVisiblePrefix34Pow4.20261021.v1.HeaderTransport.20261022.v1.PreSubmitHeaderDownload.20261021.v1 / True</x:v>
      </x:c>
      <x:c r="J198" s="9" t="n">
        <x:v>8192</x:v>
      </x:c>
      <x:c r="K198" s="9" t="n">
        <x:v>8192</x:v>
      </x:c>
      <x:c r="L198" s="9" t="n">
        <x:v>32</x:v>
      </x:c>
      <x:c r="M198" s="2" t="str">
        <x:v>9KT7EQEZ0000</x:v>
      </x:c>
      <x:c r="N198" s="2" t="n">
        <x:v>4096</x:v>
      </x:c>
    </x:row>
    <x:row r="199" ht="22" customHeight="1">
      <x:c r="A199" s="2" t="str">
        <x:v>resource15-same-dll-consumer-causality</x:v>
      </x:c>
      <x:c r="B199" s="2" t="str">
        <x:v>F03</x:v>
      </x:c>
      <x:c r="C199" s="2" t="str">
        <x:v>continuous30</x:v>
      </x:c>
      <x:c r="D199" s="2" t="n">
        <x:v>1</x:v>
      </x:c>
      <x:c r="E199" s="9" t="n">
        <x:v>51118080</x:v>
      </x:c>
      <x:c r="F199" s="10" t="n">
        <x:v>10.0003948</x:v>
      </x:c>
      <x:c r="G199" s="10" t="n">
        <x:f>E199/F199</x:f>
        <x:v>5111606.193787469</x:v>
      </x:c>
      <x:c r="H199" s="10" t="n">
        <x:v>29.998815646758263</x:v>
      </x:c>
      <x:c r="I199" s="2" t="str">
        <x:v>E.EventResult / Dense / E.EventResult.Gpu.Whitelist.Dense.CanonicalAbi1Ready.20260919.v1.SharedVisiblePrefix34Pow4.20261021.v1.HeaderTransport.20261022.v1.PreSubmitHeaderDownload.20261021.v1 / True</x:v>
      </x:c>
      <x:c r="J199" s="9" t="n">
        <x:v>8192</x:v>
      </x:c>
      <x:c r="K199" s="9" t="n">
        <x:v>8192</x:v>
      </x:c>
      <x:c r="L199" s="9" t="n">
        <x:v>32</x:v>
      </x:c>
      <x:c r="M199" s="2" t="str">
        <x:v>9KT7EQEZ0000</x:v>
      </x:c>
      <x:c r="N199" s="2" t="n">
        <x:v>4096</x:v>
      </x:c>
    </x:row>
    <x:row r="200" ht="22" customHeight="1">
      <x:c r="A200" s="2" t="str">
        <x:v>resource15-same-dll-consumer-causality</x:v>
      </x:c>
      <x:c r="B200" s="2" t="str">
        <x:v>F03</x:v>
      </x:c>
      <x:c r="C200" s="2" t="str">
        <x:v>continuous30</x:v>
      </x:c>
      <x:c r="D200" s="2" t="n">
        <x:v>2</x:v>
      </x:c>
      <x:c r="E200" s="9" t="n">
        <x:v>51912704</x:v>
      </x:c>
      <x:c r="F200" s="10" t="n">
        <x:v>10.0014494</x:v>
      </x:c>
      <x:c r="G200" s="10" t="n">
        <x:f>E200/F200</x:f>
        <x:v>5190518.086308571</x:v>
      </x:c>
      <x:c r="H200" s="10" t="n">
        <x:v>30.095637938237232</x:v>
      </x:c>
      <x:c r="I200" s="2" t="str">
        <x:v>E.EventResult / Dense / E.EventResult.Gpu.Whitelist.Dense.CanonicalAbi1Ready.20260919.v1.SharedVisiblePrefix34Pow4.20261021.v1.HeaderTransport.20261022.v1.PreSubmitHeaderDownload.20261021.v1 / True</x:v>
      </x:c>
      <x:c r="J200" s="9" t="n">
        <x:v>8192</x:v>
      </x:c>
      <x:c r="K200" s="9" t="n">
        <x:v>8192</x:v>
      </x:c>
      <x:c r="L200" s="9" t="n">
        <x:v>32</x:v>
      </x:c>
      <x:c r="M200" s="2" t="str">
        <x:v>9KT7EQEZ0000</x:v>
      </x:c>
      <x:c r="N200" s="2" t="n">
        <x:v>4096</x:v>
      </x:c>
    </x:row>
    <x:row r="201" ht="22" customHeight="1">
      <x:c r="A201" s="2" t="str">
        <x:v>resource15-same-dll-consumer-causality</x:v>
      </x:c>
      <x:c r="B201" s="2" t="str">
        <x:v>F06</x:v>
      </x:c>
      <x:c r="C201" s="2" t="str">
        <x:v>frame30</x:v>
      </x:c>
      <x:c r="D201" s="2" t="n">
        <x:v>1</x:v>
      </x:c>
      <x:c r="E201" s="9" t="n">
        <x:v>14499840</x:v>
      </x:c>
      <x:c r="F201" s="10" t="n">
        <x:v>10.0010335</x:v>
      </x:c>
      <x:c r="G201" s="10" t="n">
        <x:f>E201/F201</x:f>
        <x:v>1449834.1596396011</x:v>
      </x:c>
      <x:c r="H201" s="10" t="n">
        <x:v>29.99689982040356</x:v>
      </x:c>
      <x:c r="I201" s="2" t="str">
        <x:v>T.TransformationAggregate / Dense / T.Gpu.InitialBasicsAggregate.PackedSeed12.OpeningConstant.20260929.v4.Dense.CanonicalAbi1Ready.SharedVisiblePrefix34Pow4.20261021.v1.HeaderTransport.20261022.v1.PreSubmitHeaderDownload.20261021.v1 / True</x:v>
      </x:c>
      <x:c r="J201" s="9" t="n">
        <x:v>8192</x:v>
      </x:c>
      <x:c r="K201" s="9" t="n">
        <x:v>8192</x:v>
      </x:c>
      <x:c r="L201" s="9" t="n">
        <x:v>32</x:v>
      </x:c>
      <x:c r="M201" s="2" t="str">
        <x:v>9KT7EQEZ0000</x:v>
      </x:c>
      <x:c r="N201" s="2" t="n">
        <x:v>4096</x:v>
      </x:c>
    </x:row>
    <x:row r="202" ht="22" customHeight="1">
      <x:c r="A202" s="2" t="str">
        <x:v>resource15-same-dll-consumer-causality</x:v>
      </x:c>
      <x:c r="B202" s="2" t="str">
        <x:v>F06</x:v>
      </x:c>
      <x:c r="C202" s="2" t="str">
        <x:v>frame30</x:v>
      </x:c>
      <x:c r="D202" s="2" t="n">
        <x:v>2</x:v>
      </x:c>
      <x:c r="E202" s="9" t="n">
        <x:v>14286848</x:v>
      </x:c>
      <x:c r="F202" s="10" t="n">
        <x:v>10.0005612</x:v>
      </x:c>
      <x:c r="G202" s="10" t="n">
        <x:f>E202/F202</x:f>
        <x:v>1428604.6267083492</x:v>
      </x:c>
      <x:c r="H202" s="10" t="n">
        <x:v>29.99831649447833</x:v>
      </x:c>
      <x:c r="I202" s="2" t="str">
        <x:v>T.TransformationAggregate / Dense / T.Gpu.InitialBasicsAggregate.PackedSeed12.OpeningConstant.20260929.v4.Dense.CanonicalAbi1Ready.SharedVisiblePrefix34Pow4.20261021.v1.HeaderTransport.20261022.v1.PreSubmitHeaderDownload.20261021.v1 / True</x:v>
      </x:c>
      <x:c r="J202" s="9" t="n">
        <x:v>8192</x:v>
      </x:c>
      <x:c r="K202" s="9" t="n">
        <x:v>8192</x:v>
      </x:c>
      <x:c r="L202" s="9" t="n">
        <x:v>32</x:v>
      </x:c>
      <x:c r="M202" s="2" t="str">
        <x:v>9KT7EQEZ0000</x:v>
      </x:c>
      <x:c r="N202" s="2" t="n">
        <x:v>4096</x:v>
      </x:c>
    </x:row>
    <x:row r="203" ht="22" customHeight="1">
      <x:c r="A203" s="2" t="str">
        <x:v>resource15-same-dll-consumer-causality</x:v>
      </x:c>
      <x:c r="B203" s="2" t="str">
        <x:v>F06</x:v>
      </x:c>
      <x:c r="C203" s="2" t="str">
        <x:v>frame60</x:v>
      </x:c>
      <x:c r="D203" s="2" t="n">
        <x:v>1</x:v>
      </x:c>
      <x:c r="E203" s="9" t="n">
        <x:v>28344320</x:v>
      </x:c>
      <x:c r="F203" s="10" t="n">
        <x:v>10.0049603</x:v>
      </x:c>
      <x:c r="G203" s="10" t="n">
        <x:f>E203/F203</x:f>
        <x:v>2833026.7337492583</x:v>
      </x:c>
      <x:c r="H203" s="10" t="n">
        <x:v>60.07020337701889</x:v>
      </x:c>
      <x:c r="I203" s="2" t="str">
        <x:v>T.TransformationAggregate / Dense / T.Gpu.InitialBasicsAggregate.PackedSeed12.OpeningConstant.20260929.v4.Dense.CanonicalAbi1Ready.SharedVisiblePrefix34Pow4.20261021.v1.HeaderTransport.20261022.v1.PreSubmitHeaderDownload.20261021.v1 / True</x:v>
      </x:c>
      <x:c r="J203" s="9" t="n">
        <x:v>8192</x:v>
      </x:c>
      <x:c r="K203" s="9" t="n">
        <x:v>8192</x:v>
      </x:c>
      <x:c r="L203" s="9" t="n">
        <x:v>32</x:v>
      </x:c>
      <x:c r="M203" s="2" t="str">
        <x:v>9KT7EQEZ0000</x:v>
      </x:c>
      <x:c r="N203" s="2" t="n">
        <x:v>4096</x:v>
      </x:c>
    </x:row>
    <x:row r="204" ht="22" customHeight="1">
      <x:c r="A204" s="2" t="str">
        <x:v>resource15-same-dll-consumer-causality</x:v>
      </x:c>
      <x:c r="B204" s="2" t="str">
        <x:v>F06</x:v>
      </x:c>
      <x:c r="C204" s="2" t="str">
        <x:v>frame60</x:v>
      </x:c>
      <x:c r="D204" s="2" t="n">
        <x:v>2</x:v>
      </x:c>
      <x:c r="E204" s="9" t="n">
        <x:v>28360704</x:v>
      </x:c>
      <x:c r="F204" s="10" t="n">
        <x:v>10.0011254</x:v>
      </x:c>
      <x:c r="G204" s="10" t="n">
        <x:f>E204/F204</x:f>
        <x:v>2835751.2645526873</x:v>
      </x:c>
      <x:c r="H204" s="10" t="n">
        <x:v>59.993248359829586</x:v>
      </x:c>
      <x:c r="I204" s="2" t="str">
        <x:v>T.TransformationAggregate / Dense / T.Gpu.InitialBasicsAggregate.PackedSeed12.OpeningConstant.20260929.v4.Dense.CanonicalAbi1Ready.SharedVisiblePrefix34Pow4.20261021.v1.HeaderTransport.20261022.v1.PreSubmitHeaderDownload.20261021.v1 / True</x:v>
      </x:c>
      <x:c r="J204" s="9" t="n">
        <x:v>8192</x:v>
      </x:c>
      <x:c r="K204" s="9" t="n">
        <x:v>8192</x:v>
      </x:c>
      <x:c r="L204" s="9" t="n">
        <x:v>32</x:v>
      </x:c>
      <x:c r="M204" s="2" t="str">
        <x:v>9KT7EQEZ0000</x:v>
      </x:c>
      <x:c r="N204" s="2" t="n">
        <x:v>4096</x:v>
      </x:c>
    </x:row>
    <x:row r="205" ht="22" customHeight="1">
      <x:c r="A205" s="2" t="str">
        <x:v>resource15-same-dll-consumer-causality</x:v>
      </x:c>
      <x:c r="B205" s="2" t="str">
        <x:v>F06</x:v>
      </x:c>
      <x:c r="C205" s="2" t="str">
        <x:v>continuous30</x:v>
      </x:c>
      <x:c r="D205" s="2" t="n">
        <x:v>1</x:v>
      </x:c>
      <x:c r="E205" s="9" t="n">
        <x:v>94216192</x:v>
      </x:c>
      <x:c r="F205" s="10" t="n">
        <x:v>10.0002314</x:v>
      </x:c>
      <x:c r="G205" s="10" t="n">
        <x:f>E205/F205</x:f>
        <x:v>9421401.188776491</x:v>
      </x:c>
      <x:c r="H205" s="10" t="n">
        <x:v>29.999305816063416</x:v>
      </x:c>
      <x:c r="I205" s="2" t="str">
        <x:v>T.TransformationAggregate / Dense / T.Gpu.InitialBasicsAggregate.PackedSeed12.OpeningConstant.20260929.v4.Dense.CanonicalAbi1Ready.SharedVisiblePrefix34Pow4.20261021.v1.HeaderTransport.20261022.v1.PreSubmitHeaderDownload.20261021.v1 / True</x:v>
      </x:c>
      <x:c r="J205" s="9" t="n">
        <x:v>8192</x:v>
      </x:c>
      <x:c r="K205" s="9" t="n">
        <x:v>8192</x:v>
      </x:c>
      <x:c r="L205" s="9" t="n">
        <x:v>32</x:v>
      </x:c>
      <x:c r="M205" s="2" t="str">
        <x:v>9KT7EQEZ0000</x:v>
      </x:c>
      <x:c r="N205" s="2" t="n">
        <x:v>4096</x:v>
      </x:c>
    </x:row>
    <x:row r="206" ht="22" customHeight="1">
      <x:c r="A206" s="2" t="str">
        <x:v>resource15-same-dll-consumer-causality</x:v>
      </x:c>
      <x:c r="B206" s="2" t="str">
        <x:v>F06</x:v>
      </x:c>
      <x:c r="C206" s="2" t="str">
        <x:v>continuous30</x:v>
      </x:c>
      <x:c r="D206" s="2" t="n">
        <x:v>2</x:v>
      </x:c>
      <x:c r="E206" s="9" t="n">
        <x:v>94363648</x:v>
      </x:c>
      <x:c r="F206" s="10" t="n">
        <x:v>10.0006576</x:v>
      </x:c>
      <x:c r="G206" s="10" t="n">
        <x:f>E206/F206</x:f>
        <x:v>9435744.305454474</x:v>
      </x:c>
      <x:c r="H206" s="10" t="n">
        <x:v>29.998027329722795</x:v>
      </x:c>
      <x:c r="I206" s="2" t="str">
        <x:v>T.TransformationAggregate / Dense / T.Gpu.InitialBasicsAggregate.PackedSeed12.OpeningConstant.20260929.v4.Dense.CanonicalAbi1Ready.SharedVisiblePrefix34Pow4.20261021.v1.HeaderTransport.20261022.v1.PreSubmitHeaderDownload.20261021.v1 / True</x:v>
      </x:c>
      <x:c r="J206" s="9" t="n">
        <x:v>8192</x:v>
      </x:c>
      <x:c r="K206" s="9" t="n">
        <x:v>8192</x:v>
      </x:c>
      <x:c r="L206" s="9" t="n">
        <x:v>32</x:v>
      </x:c>
      <x:c r="M206" s="2" t="str">
        <x:v>9KT7EQEZ0000</x:v>
      </x:c>
      <x:c r="N206" s="2" t="n">
        <x:v>4096</x:v>
      </x:c>
    </x:row>
    <x:row r="207" ht="22" customHeight="1">
      <x:c r="A207" s="2" t="str">
        <x:v>resource16-fair-three-version</x:v>
      </x:c>
      <x:c r="B207" s="2" t="str">
        <x:v>F02</x:v>
      </x:c>
      <x:c r="C207" s="2" t="str">
        <x:v>original</x:v>
      </x:c>
      <x:c r="D207" s="2" t="n">
        <x:v>1</x:v>
      </x:c>
      <x:c r="E207" s="9" t="n">
        <x:v>2547712</x:v>
      </x:c>
      <x:c r="F207" s="10" t="n">
        <x:v>10.016337</x:v>
      </x:c>
      <x:c r="G207" s="10" t="n">
        <x:f>E207/F207</x:f>
        <x:v>254355.65915963092</x:v>
      </x:c>
      <x:c r="H207" s="10" t="n">
        <x:v>30.050905835137137</x:v>
      </x:c>
      <x:c r="I207" s="2" t="str">
        <x:v>C.CombatReward:GPU(Dense)</x:v>
      </x:c>
      <x:c r="J207" s="9" t="n">
        <x:v>1048576</x:v>
      </x:c>
      <x:c r="K207" s="9" t="n">
        <x:v>8192</x:v>
      </x:c>
      <x:c r="L207" s="9" t="n">
        <x:v>32</x:v>
      </x:c>
      <x:c r="M207" s="2" t="str">
        <x:v>9KT7EQEZ0000</x:v>
      </x:c>
      <x:c r="N207" s="2" t="n">
        <x:v>4096</x:v>
      </x:c>
    </x:row>
    <x:row r="208" ht="22" customHeight="1">
      <x:c r="A208" s="2" t="str">
        <x:v>resource16-fair-three-version</x:v>
      </x:c>
      <x:c r="B208" s="2" t="str">
        <x:v>F02</x:v>
      </x:c>
      <x:c r="C208" s="2" t="str">
        <x:v>original</x:v>
      </x:c>
      <x:c r="D208" s="2" t="n">
        <x:v>2</x:v>
      </x:c>
      <x:c r="E208" s="9" t="n">
        <x:v>2588672</x:v>
      </x:c>
      <x:c r="F208" s="10" t="n">
        <x:v>10.0389696</x:v>
      </x:c>
      <x:c r="G208" s="10" t="n">
        <x:f>E208/F208</x:f>
        <x:v>257862.32085013983</x:v>
      </x:c>
      <x:c r="H208" s="10" t="n">
        <x:v>29.983156837131972</x:v>
      </x:c>
      <x:c r="I208" s="2" t="str">
        <x:v>C.CombatReward:GPU(Dense)</x:v>
      </x:c>
      <x:c r="J208" s="9" t="n">
        <x:v>1048576</x:v>
      </x:c>
      <x:c r="K208" s="9" t="n">
        <x:v>8192</x:v>
      </x:c>
      <x:c r="L208" s="9" t="n">
        <x:v>32</x:v>
      </x:c>
      <x:c r="M208" s="2" t="str">
        <x:v>9KT7EQEZ0000</x:v>
      </x:c>
      <x:c r="N208" s="2" t="n">
        <x:v>4096</x:v>
      </x:c>
    </x:row>
    <x:row r="209" ht="22" customHeight="1">
      <x:c r="A209" s="2" t="str">
        <x:v>resource16-fair-three-version</x:v>
      </x:c>
      <x:c r="B209" s="2" t="str">
        <x:v>F02</x:v>
      </x:c>
      <x:c r="C209" s="2" t="str">
        <x:v>resource15</x:v>
      </x:c>
      <x:c r="D209" s="2" t="n">
        <x:v>1</x:v>
      </x:c>
      <x:c r="E209" s="9" t="n">
        <x:v>2473984</x:v>
      </x:c>
      <x:c r="F209" s="10" t="n">
        <x:v>10.0238632</x:v>
      </x:c>
      <x:c r="G209" s="10" t="n">
        <x:f>E209/F209</x:f>
        <x:v>246809.43371214406</x:v>
      </x:c>
      <x:c r="H209" s="10" t="n">
        <x:v>29.928580828996154</x:v>
      </x:c>
      <x:c r="I209" s="2" t="str">
        <x:v>C.CombatReward:GPU(Dense)</x:v>
      </x:c>
      <x:c r="J209" s="9" t="n">
        <x:v>1048576</x:v>
      </x:c>
      <x:c r="K209" s="9" t="n">
        <x:v>8192</x:v>
      </x:c>
      <x:c r="L209" s="9" t="n">
        <x:v>32</x:v>
      </x:c>
      <x:c r="M209" s="2" t="str">
        <x:v>9KT7EQEZ0000</x:v>
      </x:c>
      <x:c r="N209" s="2" t="n">
        <x:v>4096</x:v>
      </x:c>
    </x:row>
    <x:row r="210" ht="22" customHeight="1">
      <x:c r="A210" s="2" t="str">
        <x:v>resource16-fair-three-version</x:v>
      </x:c>
      <x:c r="B210" s="2" t="str">
        <x:v>F02</x:v>
      </x:c>
      <x:c r="C210" s="2" t="str">
        <x:v>resource15</x:v>
      </x:c>
      <x:c r="D210" s="2" t="n">
        <x:v>2</x:v>
      </x:c>
      <x:c r="E210" s="9" t="n">
        <x:v>2752512</x:v>
      </x:c>
      <x:c r="F210" s="10" t="n">
        <x:v>10.0199295</x:v>
      </x:c>
      <x:c r="G210" s="10" t="n">
        <x:f>E210/F210</x:f>
        <x:v>274703.7292028851</x:v>
      </x:c>
      <x:c r="H210" s="10" t="n">
        <x:v>30.040131519887442</x:v>
      </x:c>
      <x:c r="I210" s="2" t="str">
        <x:v>C.CombatReward:GPU(Dense)</x:v>
      </x:c>
      <x:c r="J210" s="9" t="n">
        <x:v>1048576</x:v>
      </x:c>
      <x:c r="K210" s="9" t="n">
        <x:v>8192</x:v>
      </x:c>
      <x:c r="L210" s="9" t="n">
        <x:v>32</x:v>
      </x:c>
      <x:c r="M210" s="2" t="str">
        <x:v>9KT7EQEZ0000</x:v>
      </x:c>
      <x:c r="N210" s="2" t="n">
        <x:v>4096</x:v>
      </x:c>
    </x:row>
    <x:row r="211" ht="22" customHeight="1">
      <x:c r="A211" s="2" t="str">
        <x:v>resource16-fair-three-version</x:v>
      </x:c>
      <x:c r="B211" s="2" t="str">
        <x:v>F02</x:v>
      </x:c>
      <x:c r="C211" s="2" t="str">
        <x:v>resource16</x:v>
      </x:c>
      <x:c r="D211" s="2" t="n">
        <x:v>1</x:v>
      </x:c>
      <x:c r="E211" s="9" t="n">
        <x:v>2949120</x:v>
      </x:c>
      <x:c r="F211" s="10" t="n">
        <x:v>10.0343913</x:v>
      </x:c>
      <x:c r="G211" s="10" t="n">
        <x:f>E211/F211</x:f>
        <x:v>293901.23544414697</x:v>
      </x:c>
      <x:c r="H211" s="10" t="n">
        <x:v>29.996836978043703</x:v>
      </x:c>
      <x:c r="I211" s="2" t="str">
        <x:v>C.CombatReward:GPU(Dense)</x:v>
      </x:c>
      <x:c r="J211" s="9" t="n">
        <x:v>1048576</x:v>
      </x:c>
      <x:c r="K211" s="9" t="n">
        <x:v>8192</x:v>
      </x:c>
      <x:c r="L211" s="9" t="n">
        <x:v>32</x:v>
      </x:c>
      <x:c r="M211" s="2" t="str">
        <x:v>9KT7EQEZ0000</x:v>
      </x:c>
      <x:c r="N211" s="2" t="n">
        <x:v>4096</x:v>
      </x:c>
    </x:row>
    <x:row r="212" ht="22" customHeight="1">
      <x:c r="A212" s="2" t="str">
        <x:v>resource16-fair-three-version</x:v>
      </x:c>
      <x:c r="B212" s="2" t="str">
        <x:v>F02</x:v>
      </x:c>
      <x:c r="C212" s="2" t="str">
        <x:v>resource16</x:v>
      </x:c>
      <x:c r="D212" s="2" t="n">
        <x:v>2</x:v>
      </x:c>
      <x:c r="E212" s="9" t="n">
        <x:v>2940928</x:v>
      </x:c>
      <x:c r="F212" s="10" t="n">
        <x:v>10.005562</x:v>
      </x:c>
      <x:c r="G212" s="10" t="n">
        <x:f>E212/F212</x:f>
        <x:v>293929.31651415484</x:v>
      </x:c>
      <x:c r="H212" s="10" t="n">
        <x:v>29.983323275594117</x:v>
      </x:c>
      <x:c r="I212" s="2" t="str">
        <x:v>C.CombatReward:GPU(Dense)</x:v>
      </x:c>
      <x:c r="J212" s="9" t="n">
        <x:v>1048576</x:v>
      </x:c>
      <x:c r="K212" s="9" t="n">
        <x:v>8192</x:v>
      </x:c>
      <x:c r="L212" s="9" t="n">
        <x:v>32</x:v>
      </x:c>
      <x:c r="M212" s="2" t="str">
        <x:v>9KT7EQEZ0000</x:v>
      </x:c>
      <x:c r="N212" s="2" t="n">
        <x:v>4096</x:v>
      </x:c>
    </x:row>
    <x:row r="213" ht="22" customHeight="1">
      <x:c r="A213" s="2" t="str">
        <x:v>resource16-fair-three-version</x:v>
      </x:c>
      <x:c r="B213" s="2" t="str">
        <x:v>F03</x:v>
      </x:c>
      <x:c r="C213" s="2" t="str">
        <x:v>original</x:v>
      </x:c>
      <x:c r="D213" s="2" t="n">
        <x:v>1</x:v>
      </x:c>
      <x:c r="E213" s="9" t="n">
        <x:v>66437120</x:v>
      </x:c>
      <x:c r="F213" s="10" t="n">
        <x:v>10.0005285</x:v>
      </x:c>
      <x:c r="G213" s="10" t="n">
        <x:f>E213/F213</x:f>
        <x:v>6643360.898376521</x:v>
      </x:c>
      <x:c r="H213" s="10" t="n">
        <x:v>29.99841458378925</x:v>
      </x:c>
      <x:c r="I213" s="2" t="str">
        <x:v>E.EventResult:GPU(Dense)</x:v>
      </x:c>
      <x:c r="J213" s="9" t="n">
        <x:v>8388608</x:v>
      </x:c>
      <x:c r="K213" s="9" t="n">
        <x:v>8192</x:v>
      </x:c>
      <x:c r="L213" s="9" t="n">
        <x:v>32</x:v>
      </x:c>
      <x:c r="M213" s="2" t="str">
        <x:v>9KT7EQEZ0000</x:v>
      </x:c>
      <x:c r="N213" s="2" t="n">
        <x:v>4096</x:v>
      </x:c>
    </x:row>
    <x:row r="214" ht="22" customHeight="1">
      <x:c r="A214" s="2" t="str">
        <x:v>resource16-fair-three-version</x:v>
      </x:c>
      <x:c r="B214" s="2" t="str">
        <x:v>F03</x:v>
      </x:c>
      <x:c r="C214" s="2" t="str">
        <x:v>original</x:v>
      </x:c>
      <x:c r="D214" s="2" t="n">
        <x:v>2</x:v>
      </x:c>
      <x:c r="E214" s="9" t="n">
        <x:v>64987136</x:v>
      </x:c>
      <x:c r="F214" s="10" t="n">
        <x:v>10.0008042</x:v>
      </x:c>
      <x:c r="G214" s="10" t="n">
        <x:f>E214/F214</x:f>
        <x:v>6498191.015478536</x:v>
      </x:c>
      <x:c r="H214" s="10" t="n">
        <x:v>29.997587594005694</x:v>
      </x:c>
      <x:c r="I214" s="2" t="str">
        <x:v>E.EventResult:GPU(Dense)</x:v>
      </x:c>
      <x:c r="J214" s="9" t="n">
        <x:v>8388608</x:v>
      </x:c>
      <x:c r="K214" s="9" t="n">
        <x:v>8192</x:v>
      </x:c>
      <x:c r="L214" s="9" t="n">
        <x:v>32</x:v>
      </x:c>
      <x:c r="M214" s="2" t="str">
        <x:v>9KT7EQEZ0000</x:v>
      </x:c>
      <x:c r="N214" s="2" t="n">
        <x:v>4096</x:v>
      </x:c>
    </x:row>
    <x:row r="215" ht="22" customHeight="1">
      <x:c r="A215" s="2" t="str">
        <x:v>resource16-fair-three-version</x:v>
      </x:c>
      <x:c r="B215" s="2" t="str">
        <x:v>F03</x:v>
      </x:c>
      <x:c r="C215" s="2" t="str">
        <x:v>resource15</x:v>
      </x:c>
      <x:c r="D215" s="2" t="n">
        <x:v>1</x:v>
      </x:c>
      <x:c r="E215" s="9" t="n">
        <x:v>52396032</x:v>
      </x:c>
      <x:c r="F215" s="10" t="n">
        <x:v>10.0004418</x:v>
      </x:c>
      <x:c r="G215" s="10" t="n">
        <x:f>E215/F215</x:f>
        <x:v>5239371.724557209</x:v>
      </x:c>
      <x:c r="H215" s="10" t="n">
        <x:v>29.798683494163225</x:v>
      </x:c>
      <x:c r="I215" s="2" t="str">
        <x:v>E.EventResult:GPU(Dense)</x:v>
      </x:c>
      <x:c r="J215" s="9" t="n">
        <x:v>8388608</x:v>
      </x:c>
      <x:c r="K215" s="9" t="n">
        <x:v>8192</x:v>
      </x:c>
      <x:c r="L215" s="9" t="n">
        <x:v>32</x:v>
      </x:c>
      <x:c r="M215" s="2" t="str">
        <x:v>9KT7EQEZ0000</x:v>
      </x:c>
      <x:c r="N215" s="2" t="n">
        <x:v>4096</x:v>
      </x:c>
    </x:row>
    <x:row r="216" ht="22" customHeight="1">
      <x:c r="A216" s="2" t="str">
        <x:v>resource16-fair-three-version</x:v>
      </x:c>
      <x:c r="B216" s="2" t="str">
        <x:v>F03</x:v>
      </x:c>
      <x:c r="C216" s="2" t="str">
        <x:v>resource15</x:v>
      </x:c>
      <x:c r="D216" s="2" t="n">
        <x:v>2</x:v>
      </x:c>
      <x:c r="E216" s="9" t="n">
        <x:v>61317120</x:v>
      </x:c>
      <x:c r="F216" s="10" t="n">
        <x:v>10.0001284</x:v>
      </x:c>
      <x:c r="G216" s="10" t="n">
        <x:f>E216/F216</x:f>
        <x:v>6131633.269828816</x:v>
      </x:c>
      <x:c r="H216" s="10" t="n">
        <x:v>29.999614804945907</x:v>
      </x:c>
      <x:c r="I216" s="2" t="str">
        <x:v>E.EventResult:GPU(Dense)</x:v>
      </x:c>
      <x:c r="J216" s="9" t="n">
        <x:v>8388608</x:v>
      </x:c>
      <x:c r="K216" s="9" t="n">
        <x:v>8192</x:v>
      </x:c>
      <x:c r="L216" s="9" t="n">
        <x:v>32</x:v>
      </x:c>
      <x:c r="M216" s="2" t="str">
        <x:v>9KT7EQEZ0000</x:v>
      </x:c>
      <x:c r="N216" s="2" t="n">
        <x:v>4096</x:v>
      </x:c>
    </x:row>
    <x:row r="217" ht="22" customHeight="1">
      <x:c r="A217" s="2" t="str">
        <x:v>resource16-fair-three-version</x:v>
      </x:c>
      <x:c r="B217" s="2" t="str">
        <x:v>F03</x:v>
      </x:c>
      <x:c r="C217" s="2" t="str">
        <x:v>resource16</x:v>
      </x:c>
      <x:c r="D217" s="2" t="n">
        <x:v>1</x:v>
      </x:c>
      <x:c r="E217" s="9" t="n">
        <x:v>60284928</x:v>
      </x:c>
      <x:c r="F217" s="10" t="n">
        <x:v>10.0028347</x:v>
      </x:c>
      <x:c r="G217" s="10" t="n">
        <x:f>E217/F217</x:f>
        <x:v>6026784.387429696</x:v>
      </x:c>
      <x:c r="H217" s="10" t="n">
        <x:v>29.991498309974073</x:v>
      </x:c>
      <x:c r="I217" s="2" t="str">
        <x:v>E.EventResult:GPU(Dense)</x:v>
      </x:c>
      <x:c r="J217" s="9" t="n">
        <x:v>8388608</x:v>
      </x:c>
      <x:c r="K217" s="9" t="n">
        <x:v>8192</x:v>
      </x:c>
      <x:c r="L217" s="9" t="n">
        <x:v>32</x:v>
      </x:c>
      <x:c r="M217" s="2" t="str">
        <x:v>9KT7EQEZ0000</x:v>
      </x:c>
      <x:c r="N217" s="2" t="n">
        <x:v>4096</x:v>
      </x:c>
    </x:row>
    <x:row r="218" ht="22" customHeight="1">
      <x:c r="A218" s="2" t="str">
        <x:v>resource16-fair-three-version</x:v>
      </x:c>
      <x:c r="B218" s="2" t="str">
        <x:v>F03</x:v>
      </x:c>
      <x:c r="C218" s="2" t="str">
        <x:v>resource16</x:v>
      </x:c>
      <x:c r="D218" s="2" t="n">
        <x:v>2</x:v>
      </x:c>
      <x:c r="E218" s="9" t="n">
        <x:v>57679872</x:v>
      </x:c>
      <x:c r="F218" s="10" t="n">
        <x:v>10.0011636</x:v>
      </x:c>
      <x:c r="G218" s="10" t="n">
        <x:f>E218/F218</x:f>
        <x:v>5767316.1150968475</x:v>
      </x:c>
      <x:c r="H218" s="10" t="n">
        <x:v>29.99650960614223</x:v>
      </x:c>
      <x:c r="I218" s="2" t="str">
        <x:v>E.EventResult:GPU(Dense)</x:v>
      </x:c>
      <x:c r="J218" s="9" t="n">
        <x:v>8388608</x:v>
      </x:c>
      <x:c r="K218" s="9" t="n">
        <x:v>8192</x:v>
      </x:c>
      <x:c r="L218" s="9" t="n">
        <x:v>32</x:v>
      </x:c>
      <x:c r="M218" s="2" t="str">
        <x:v>9KT7EQEZ0000</x:v>
      </x:c>
      <x:c r="N218" s="2" t="n">
        <x:v>4096</x:v>
      </x:c>
    </x:row>
    <x:row r="219" ht="22" customHeight="1">
      <x:c r="A219" s="2" t="str">
        <x:v>resource16-fair-three-version</x:v>
      </x:c>
      <x:c r="B219" s="2" t="str">
        <x:v>F06</x:v>
      </x:c>
      <x:c r="C219" s="2" t="str">
        <x:v>original</x:v>
      </x:c>
      <x:c r="D219" s="2" t="n">
        <x:v>1</x:v>
      </x:c>
      <x:c r="E219" s="9" t="n">
        <x:v>99049472</x:v>
      </x:c>
      <x:c r="F219" s="10" t="n">
        <x:v>10.0002881</x:v>
      </x:c>
      <x:c r="G219" s="10" t="n">
        <x:f>E219/F219</x:f>
        <x:v>9904661.846692197</x:v>
      </x:c>
      <x:c r="H219" s="10" t="n">
        <x:v>29.999135724899762</x:v>
      </x:c>
      <x:c r="I219" s="2" t="str">
        <x:v>T.TransformationAggregate:GPU(Dense)</x:v>
      </x:c>
      <x:c r="J219" s="9" t="n">
        <x:v>8388608</x:v>
      </x:c>
      <x:c r="K219" s="9" t="n">
        <x:v>8192</x:v>
      </x:c>
      <x:c r="L219" s="9" t="n">
        <x:v>32</x:v>
      </x:c>
      <x:c r="M219" s="2" t="str">
        <x:v>9KT7EQEZ0000</x:v>
      </x:c>
      <x:c r="N219" s="2" t="n">
        <x:v>4096</x:v>
      </x:c>
    </x:row>
    <x:row r="220" ht="22" customHeight="1">
      <x:c r="A220" s="2" t="str">
        <x:v>resource16-fair-three-version</x:v>
      </x:c>
      <x:c r="B220" s="2" t="str">
        <x:v>F06</x:v>
      </x:c>
      <x:c r="C220" s="2" t="str">
        <x:v>original</x:v>
      </x:c>
      <x:c r="D220" s="2" t="n">
        <x:v>2</x:v>
      </x:c>
      <x:c r="E220" s="9" t="n">
        <x:v>100073472</x:v>
      </x:c>
      <x:c r="F220" s="10" t="n">
        <x:v>10.0005172</x:v>
      </x:c>
      <x:c r="G220" s="10" t="n">
        <x:f>E220/F220</x:f>
        <x:v>10006829.646770667</x:v>
      </x:c>
      <x:c r="H220" s="10" t="n">
        <x:v>29.998448480244598</x:v>
      </x:c>
      <x:c r="I220" s="2" t="str">
        <x:v>T.TransformationAggregate:GPU(Dense)</x:v>
      </x:c>
      <x:c r="J220" s="9" t="n">
        <x:v>8388608</x:v>
      </x:c>
      <x:c r="K220" s="9" t="n">
        <x:v>8192</x:v>
      </x:c>
      <x:c r="L220" s="9" t="n">
        <x:v>32</x:v>
      </x:c>
      <x:c r="M220" s="2" t="str">
        <x:v>9KT7EQEZ0000</x:v>
      </x:c>
      <x:c r="N220" s="2" t="n">
        <x:v>4096</x:v>
      </x:c>
    </x:row>
    <x:row r="221" ht="22" customHeight="1">
      <x:c r="A221" s="2" t="str">
        <x:v>resource16-fair-three-version</x:v>
      </x:c>
      <x:c r="B221" s="2" t="str">
        <x:v>F06</x:v>
      </x:c>
      <x:c r="C221" s="2" t="str">
        <x:v>resource15</x:v>
      </x:c>
      <x:c r="D221" s="2" t="n">
        <x:v>1</x:v>
      </x:c>
      <x:c r="E221" s="9" t="n">
        <x:v>85663744</x:v>
      </x:c>
      <x:c r="F221" s="10" t="n">
        <x:v>10.0005145</x:v>
      </x:c>
      <x:c r="G221" s="10" t="n">
        <x:f>E221/F221</x:f>
        <x:v>8565933.682712024</x:v>
      </x:c>
      <x:c r="H221" s="10" t="n">
        <x:v>29.99845657940899</x:v>
      </x:c>
      <x:c r="I221" s="2" t="str">
        <x:v>T.TransformationAggregate:GPU(Dense)</x:v>
      </x:c>
      <x:c r="J221" s="9" t="n">
        <x:v>8388608</x:v>
      </x:c>
      <x:c r="K221" s="9" t="n">
        <x:v>8192</x:v>
      </x:c>
      <x:c r="L221" s="9" t="n">
        <x:v>32</x:v>
      </x:c>
      <x:c r="M221" s="2" t="str">
        <x:v>9KT7EQEZ0000</x:v>
      </x:c>
      <x:c r="N221" s="2" t="n">
        <x:v>4096</x:v>
      </x:c>
    </x:row>
    <x:row r="222" ht="22" customHeight="1">
      <x:c r="A222" s="2" t="str">
        <x:v>resource16-fair-three-version</x:v>
      </x:c>
      <x:c r="B222" s="2" t="str">
        <x:v>F06</x:v>
      </x:c>
      <x:c r="C222" s="2" t="str">
        <x:v>resource15</x:v>
      </x:c>
      <x:c r="D222" s="2" t="n">
        <x:v>2</x:v>
      </x:c>
      <x:c r="E222" s="9" t="n">
        <x:v>95485952</x:v>
      </x:c>
      <x:c r="F222" s="10" t="n">
        <x:v>10.0006386</x:v>
      </x:c>
      <x:c r="G222" s="10" t="n">
        <x:f>E222/F222</x:f>
        <x:v>9547985.465648163</x:v>
      </x:c>
      <x:c r="H222" s="10" t="n">
        <x:v>29.998084322335174</x:v>
      </x:c>
      <x:c r="I222" s="2" t="str">
        <x:v>T.TransformationAggregate:GPU(Dense)</x:v>
      </x:c>
      <x:c r="J222" s="9" t="n">
        <x:v>8388608</x:v>
      </x:c>
      <x:c r="K222" s="9" t="n">
        <x:v>8192</x:v>
      </x:c>
      <x:c r="L222" s="9" t="n">
        <x:v>32</x:v>
      </x:c>
      <x:c r="M222" s="2" t="str">
        <x:v>9KT7EQEZ0000</x:v>
      </x:c>
      <x:c r="N222" s="2" t="n">
        <x:v>4096</x:v>
      </x:c>
    </x:row>
    <x:row r="223" ht="22" customHeight="1">
      <x:c r="A223" s="2" t="str">
        <x:v>resource16-fair-three-version</x:v>
      </x:c>
      <x:c r="B223" s="2" t="str">
        <x:v>F06</x:v>
      </x:c>
      <x:c r="C223" s="2" t="str">
        <x:v>resource16</x:v>
      </x:c>
      <x:c r="D223" s="2" t="n">
        <x:v>1</x:v>
      </x:c>
      <x:c r="E223" s="9" t="n">
        <x:v>93323264</x:v>
      </x:c>
      <x:c r="F223" s="10" t="n">
        <x:v>10.0019462</x:v>
      </x:c>
      <x:c r="G223" s="10" t="n">
        <x:f>E223/F223</x:f>
        <x:v>9330510.496047258</x:v>
      </x:c>
      <x:c r="H223" s="10" t="n">
        <x:v>30.094143077874183</x:v>
      </x:c>
      <x:c r="I223" s="2" t="str">
        <x:v>T.TransformationAggregate:GPU(Dense)</x:v>
      </x:c>
      <x:c r="J223" s="9" t="n">
        <x:v>8388608</x:v>
      </x:c>
      <x:c r="K223" s="9" t="n">
        <x:v>8192</x:v>
      </x:c>
      <x:c r="L223" s="9" t="n">
        <x:v>32</x:v>
      </x:c>
      <x:c r="M223" s="2" t="str">
        <x:v>9KT7EQEZ0000</x:v>
      </x:c>
      <x:c r="N223" s="2" t="n">
        <x:v>4096</x:v>
      </x:c>
    </x:row>
    <x:row r="224" ht="22" customHeight="1">
      <x:c r="A224" s="2" t="str">
        <x:v>resource16-fair-three-version</x:v>
      </x:c>
      <x:c r="B224" s="2" t="str">
        <x:v>F06</x:v>
      </x:c>
      <x:c r="C224" s="2" t="str">
        <x:v>resource16</x:v>
      </x:c>
      <x:c r="D224" s="2" t="n">
        <x:v>2</x:v>
      </x:c>
      <x:c r="E224" s="9" t="n">
        <x:v>84508672</x:v>
      </x:c>
      <x:c r="F224" s="10" t="n">
        <x:v>10.000435</x:v>
      </x:c>
      <x:c r="G224" s="10" t="n">
        <x:f>E224/F224</x:f>
        <x:v>8450499.603267258</x:v>
      </x:c>
      <x:c r="H224" s="10" t="n">
        <x:v>29.998695056765033</x:v>
      </x:c>
      <x:c r="I224" s="2" t="str">
        <x:v>T.TransformationAggregate:GPU(Dense)</x:v>
      </x:c>
      <x:c r="J224" s="9" t="n">
        <x:v>8388608</x:v>
      </x:c>
      <x:c r="K224" s="9" t="n">
        <x:v>8192</x:v>
      </x:c>
      <x:c r="L224" s="9" t="n">
        <x:v>32</x:v>
      </x:c>
      <x:c r="M224" s="2" t="str">
        <x:v>9KT7EQEZ0000</x:v>
      </x:c>
      <x:c r="N224" s="2" t="n">
        <x:v>4096</x:v>
      </x:c>
    </x:row>
    <x:row r="225" ht="22" customHeight="1">
      <x:c r="A225" s="2" t="str">
        <x:v>resource16-product-receiver-fps</x:v>
      </x:c>
      <x:c r="B225" s="2" t="str">
        <x:v>F03</x:v>
      </x:c>
      <x:c r="C225" s="2" t="str">
        <x:v>resource16frame30</x:v>
      </x:c>
      <x:c r="D225" s="2" t="n">
        <x:v>1</x:v>
      </x:c>
      <x:c r="E225" s="9" t="n">
        <x:v>33603584</x:v>
      </x:c>
      <x:c r="F225" s="10" t="n">
        <x:v>10.0041557</x:v>
      </x:c>
      <x:c r="G225" s="10" t="n">
        <x:f>E225/F225</x:f>
        <x:v>3358962.515947248</x:v>
      </x:c>
      <x:c r="H225" s="10" t="n">
        <x:v>29.987538078800593</x:v>
      </x:c>
      <x:c r="I225" s="2" t="str">
        <x:v>E.EventResult:GPU(Dense)</x:v>
      </x:c>
      <x:c r="J225" s="9" t="n">
        <x:v>8192</x:v>
      </x:c>
      <x:c r="K225" s="9" t="n">
        <x:v>8192</x:v>
      </x:c>
      <x:c r="L225" s="9" t="n">
        <x:v>32</x:v>
      </x:c>
      <x:c r="M225" s="2" t="str">
        <x:v>9KT7EQEZ0000</x:v>
      </x:c>
      <x:c r="N225" s="2" t="n">
        <x:v>4096</x:v>
      </x:c>
    </x:row>
    <x:row r="226" ht="22" customHeight="1">
      <x:c r="A226" s="2" t="str">
        <x:v>resource16-product-receiver-fps</x:v>
      </x:c>
      <x:c r="B226" s="2" t="str">
        <x:v>F03</x:v>
      </x:c>
      <x:c r="C226" s="2" t="str">
        <x:v>resource16frame30</x:v>
      </x:c>
      <x:c r="D226" s="2" t="n">
        <x:v>2</x:v>
      </x:c>
      <x:c r="E226" s="9" t="n">
        <x:v>33529856</x:v>
      </x:c>
      <x:c r="F226" s="10" t="n">
        <x:v>10.0091606</x:v>
      </x:c>
      <x:c r="G226" s="10" t="n">
        <x:f>E226/F226</x:f>
        <x:v>3349916.8751473525</x:v>
      </x:c>
      <x:c r="H226" s="10" t="n">
        <x:v>29.972543351937027</x:v>
      </x:c>
      <x:c r="I226" s="2" t="str">
        <x:v>E.EventResult:GPU(Dense)</x:v>
      </x:c>
      <x:c r="J226" s="9" t="n">
        <x:v>8192</x:v>
      </x:c>
      <x:c r="K226" s="9" t="n">
        <x:v>8192</x:v>
      </x:c>
      <x:c r="L226" s="9" t="n">
        <x:v>32</x:v>
      </x:c>
      <x:c r="M226" s="2" t="str">
        <x:v>9KT7EQEZ0000</x:v>
      </x:c>
      <x:c r="N226" s="2" t="n">
        <x:v>4096</x:v>
      </x:c>
    </x:row>
    <x:row r="227" ht="22" customHeight="1">
      <x:c r="A227" s="2" t="str">
        <x:v>resource16-product-receiver-fps</x:v>
      </x:c>
      <x:c r="B227" s="2" t="str">
        <x:v>F03</x:v>
      </x:c>
      <x:c r="C227" s="2" t="str">
        <x:v>resource16frame60</x:v>
      </x:c>
      <x:c r="D227" s="2" t="n">
        <x:v>1</x:v>
      </x:c>
      <x:c r="E227" s="9" t="n">
        <x:v>39411712</x:v>
      </x:c>
      <x:c r="F227" s="10" t="n">
        <x:v>10.0001328</x:v>
      </x:c>
      <x:c r="G227" s="10" t="n">
        <x:f>E227/F227</x:f>
        <x:v>3941118.8619415136</x:v>
      </x:c>
      <x:c r="H227" s="10" t="n">
        <x:v>59.99920321058137</x:v>
      </x:c>
      <x:c r="I227" s="2" t="str">
        <x:v>E.EventResult:GPU(Dense)</x:v>
      </x:c>
      <x:c r="J227" s="9" t="n">
        <x:v>8192</x:v>
      </x:c>
      <x:c r="K227" s="9" t="n">
        <x:v>8192</x:v>
      </x:c>
      <x:c r="L227" s="9" t="n">
        <x:v>32</x:v>
      </x:c>
      <x:c r="M227" s="2" t="str">
        <x:v>9KT7EQEZ0000</x:v>
      </x:c>
      <x:c r="N227" s="2" t="n">
        <x:v>4096</x:v>
      </x:c>
    </x:row>
    <x:row r="228" ht="22" customHeight="1">
      <x:c r="A228" s="2" t="str">
        <x:v>resource16-product-receiver-fps</x:v>
      </x:c>
      <x:c r="B228" s="2" t="str">
        <x:v>F03</x:v>
      </x:c>
      <x:c r="C228" s="2" t="str">
        <x:v>resource16frame60</x:v>
      </x:c>
      <x:c r="D228" s="2" t="n">
        <x:v>2</x:v>
      </x:c>
      <x:c r="E228" s="9" t="n">
        <x:v>40058880</x:v>
      </x:c>
      <x:c r="F228" s="10" t="n">
        <x:v>10.0003892</x:v>
      </x:c>
      <x:c r="G228" s="10" t="n">
        <x:f>E228/F228</x:f>
        <x:v>4005732.096906788</x:v>
      </x:c>
      <x:c r="H228" s="10" t="n">
        <x:v>59.897668782730975</x:v>
      </x:c>
      <x:c r="I228" s="2" t="str">
        <x:v>E.EventResult:GPU(Dense)</x:v>
      </x:c>
      <x:c r="J228" s="9" t="n">
        <x:v>8192</x:v>
      </x:c>
      <x:c r="K228" s="9" t="n">
        <x:v>8192</x:v>
      </x:c>
      <x:c r="L228" s="9" t="n">
        <x:v>32</x:v>
      </x:c>
      <x:c r="M228" s="2" t="str">
        <x:v>9KT7EQEZ0000</x:v>
      </x:c>
      <x:c r="N228" s="2" t="n">
        <x:v>4096</x:v>
      </x:c>
    </x:row>
    <x:row r="229" ht="22" customHeight="1">
      <x:c r="A229" s="2" t="str">
        <x:v>resource16-product-receiver-fps</x:v>
      </x:c>
      <x:c r="B229" s="2" t="str">
        <x:v>F06</x:v>
      </x:c>
      <x:c r="C229" s="2" t="str">
        <x:v>resource16frame30</x:v>
      </x:c>
      <x:c r="D229" s="2" t="n">
        <x:v>1</x:v>
      </x:c>
      <x:c r="E229" s="9" t="n">
        <x:v>54353920</x:v>
      </x:c>
      <x:c r="F229" s="10" t="n">
        <x:v>10.0007507</x:v>
      </x:c>
      <x:c r="G229" s="10" t="n">
        <x:f>E229/F229</x:f>
        <x:v>5434983.99575144</x:v>
      </x:c>
      <x:c r="H229" s="10" t="n">
        <x:v>29.99774806905246</x:v>
      </x:c>
      <x:c r="I229" s="2" t="str">
        <x:v>T.TransformationAggregate:GPU(Dense)</x:v>
      </x:c>
      <x:c r="J229" s="9" t="n">
        <x:v>8192</x:v>
      </x:c>
      <x:c r="K229" s="9" t="n">
        <x:v>8192</x:v>
      </x:c>
      <x:c r="L229" s="9" t="n">
        <x:v>32</x:v>
      </x:c>
      <x:c r="M229" s="2" t="str">
        <x:v>9KT7EQEZ0000</x:v>
      </x:c>
      <x:c r="N229" s="2" t="n">
        <x:v>4096</x:v>
      </x:c>
    </x:row>
    <x:row r="230" ht="22" customHeight="1">
      <x:c r="A230" s="2" t="str">
        <x:v>resource16-product-receiver-fps</x:v>
      </x:c>
      <x:c r="B230" s="2" t="str">
        <x:v>F06</x:v>
      </x:c>
      <x:c r="C230" s="2" t="str">
        <x:v>resource16frame30</x:v>
      </x:c>
      <x:c r="D230" s="2" t="n">
        <x:v>2</x:v>
      </x:c>
      <x:c r="E230" s="9" t="n">
        <x:v>57565184</x:v>
      </x:c>
      <x:c r="F230" s="10" t="n">
        <x:v>10.0001693</x:v>
      </x:c>
      <x:c r="G230" s="10" t="n">
        <x:f>E230/F230</x:f>
        <x:v>5756420.943793422</x:v>
      </x:c>
      <x:c r="H230" s="10" t="n">
        <x:v>29.999492108598602</x:v>
      </x:c>
      <x:c r="I230" s="2" t="str">
        <x:v>T.TransformationAggregate:GPU(Dense)</x:v>
      </x:c>
      <x:c r="J230" s="9" t="n">
        <x:v>8192</x:v>
      </x:c>
      <x:c r="K230" s="9" t="n">
        <x:v>8192</x:v>
      </x:c>
      <x:c r="L230" s="9" t="n">
        <x:v>32</x:v>
      </x:c>
      <x:c r="M230" s="2" t="str">
        <x:v>9KT7EQEZ0000</x:v>
      </x:c>
      <x:c r="N230" s="2" t="n">
        <x:v>4096</x:v>
      </x:c>
    </x:row>
    <x:row r="231" ht="22" customHeight="1">
      <x:c r="A231" s="2" t="str">
        <x:v>resource16-product-receiver-fps</x:v>
      </x:c>
      <x:c r="B231" s="2" t="str">
        <x:v>F06</x:v>
      </x:c>
      <x:c r="C231" s="2" t="str">
        <x:v>resource16frame60</x:v>
      </x:c>
      <x:c r="D231" s="2" t="n">
        <x:v>1</x:v>
      </x:c>
      <x:c r="E231" s="9" t="n">
        <x:v>65740800</x:v>
      </x:c>
      <x:c r="F231" s="10" t="n">
        <x:v>10.0003726</x:v>
      </x:c>
      <x:c r="G231" s="10" t="n">
        <x:f>E231/F231</x:f>
        <x:v>6573835.058905705</x:v>
      </x:c>
      <x:c r="H231" s="10" t="n">
        <x:v>59.99776448329535</x:v>
      </x:c>
      <x:c r="I231" s="2" t="str">
        <x:v>T.TransformationAggregate:GPU(Dense)</x:v>
      </x:c>
      <x:c r="J231" s="9" t="n">
        <x:v>8192</x:v>
      </x:c>
      <x:c r="K231" s="9" t="n">
        <x:v>8192</x:v>
      </x:c>
      <x:c r="L231" s="9" t="n">
        <x:v>32</x:v>
      </x:c>
      <x:c r="M231" s="2" t="str">
        <x:v>9KT7EQEZ0000</x:v>
      </x:c>
      <x:c r="N231" s="2" t="n">
        <x:v>4096</x:v>
      </x:c>
    </x:row>
    <x:row r="232" ht="22" customHeight="1">
      <x:c r="A232" s="2" t="str">
        <x:v>resource16-product-receiver-fps</x:v>
      </x:c>
      <x:c r="B232" s="2" t="str">
        <x:v>F06</x:v>
      </x:c>
      <x:c r="C232" s="2" t="str">
        <x:v>resource16frame60</x:v>
      </x:c>
      <x:c r="D232" s="2" t="n">
        <x:v>2</x:v>
      </x:c>
      <x:c r="E232" s="9" t="n">
        <x:v>71368704</x:v>
      </x:c>
      <x:c r="F232" s="10" t="n">
        <x:v>10.0004452</x:v>
      </x:c>
      <x:c r="G232" s="10" t="n">
        <x:f>E232/F232</x:f>
        <x:v>7136552.680674656</x:v>
      </x:c>
      <x:c r="H232" s="10" t="n">
        <x:v>59.99732891891653</x:v>
      </x:c>
      <x:c r="I232" s="2" t="str">
        <x:v>T.TransformationAggregate:GPU(Dense)</x:v>
      </x:c>
      <x:c r="J232" s="9" t="n">
        <x:v>8192</x:v>
      </x:c>
      <x:c r="K232" s="9" t="n">
        <x:v>8192</x:v>
      </x:c>
      <x:c r="L232" s="9" t="n">
        <x:v>32</x:v>
      </x:c>
      <x:c r="M232" s="2" t="str">
        <x:v>9KT7EQEZ0000</x:v>
      </x:c>
      <x:c r="N232" s="2" t="n">
        <x:v>4096</x:v>
      </x:c>
    </x:row>
    <x:row r="233" ht="22" customHeight="1">
      <x:c r="A233" s="2" t="str">
        <x:v>withdrawn-resource16-batch-transfer</x:v>
      </x:c>
      <x:c r="B233" s="2" t="str">
        <x:v>F03</x:v>
      </x:c>
      <x:c r="C233" s="2" t="str">
        <x:v>resource16frame30</x:v>
      </x:c>
      <x:c r="D233" s="2" t="n">
        <x:v>1</x:v>
      </x:c>
      <x:c r="E233" s="9" t="n">
        <x:v>30670848</x:v>
      </x:c>
      <x:c r="F233" s="10" t="n">
        <x:v>10.0012326</x:v>
      </x:c>
      <x:c r="G233" s="10" t="n">
        <x:f>E233/F233</x:f>
        <x:v>3066706.7977201133</x:v>
      </x:c>
      <x:c r="H233" s="10" t="n">
        <x:v>29.996302655734656</x:v>
      </x:c>
      <x:c r="I233" s="2" t="str">
        <x:v>E.EventResult:GPU(Dense)</x:v>
      </x:c>
      <x:c r="J233" s="9" t="n">
        <x:v>8192</x:v>
      </x:c>
      <x:c r="K233" s="9" t="n">
        <x:v>8192</x:v>
      </x:c>
      <x:c r="L233" s="9" t="n">
        <x:v>32</x:v>
      </x:c>
      <x:c r="M233" s="2" t="str">
        <x:v>9KT7EQEZ0000</x:v>
      </x:c>
      <x:c r="N233" s="2" t="n">
        <x:v>4096</x:v>
      </x:c>
    </x:row>
    <x:row r="234" ht="22" customHeight="1">
      <x:c r="A234" s="2" t="str">
        <x:v>withdrawn-resource16-batch-transfer</x:v>
      </x:c>
      <x:c r="B234" s="2" t="str">
        <x:v>F03</x:v>
      </x:c>
      <x:c r="C234" s="2" t="str">
        <x:v>resource16frame30</x:v>
      </x:c>
      <x:c r="D234" s="2" t="n">
        <x:v>2</x:v>
      </x:c>
      <x:c r="E234" s="9" t="n">
        <x:v>27992064</x:v>
      </x:c>
      <x:c r="F234" s="10" t="n">
        <x:v>10.0095206</x:v>
      </x:c>
      <x:c r="G234" s="10" t="n">
        <x:f>E234/F234</x:f>
        <x:v>2796543.922393246</x:v>
      </x:c>
      <x:c r="H234" s="10" t="n">
        <x:v>30.071370251238605</x:v>
      </x:c>
      <x:c r="I234" s="2" t="str">
        <x:v>E.EventResult:GPU(Dense)</x:v>
      </x:c>
      <x:c r="J234" s="9" t="n">
        <x:v>8192</x:v>
      </x:c>
      <x:c r="K234" s="9" t="n">
        <x:v>8192</x:v>
      </x:c>
      <x:c r="L234" s="9" t="n">
        <x:v>32</x:v>
      </x:c>
      <x:c r="M234" s="2" t="str">
        <x:v>9KT7EQEZ0000</x:v>
      </x:c>
      <x:c r="N234" s="2" t="n">
        <x:v>4096</x:v>
      </x:c>
    </x:row>
    <x:row r="235" ht="22" customHeight="1">
      <x:c r="A235" s="2" t="str">
        <x:v>withdrawn-resource16-batch-transfer</x:v>
      </x:c>
      <x:c r="B235" s="2" t="str">
        <x:v>F03</x:v>
      </x:c>
      <x:c r="C235" s="2" t="str">
        <x:v>resource16frame60</x:v>
      </x:c>
      <x:c r="D235" s="2" t="n">
        <x:v>1</x:v>
      </x:c>
      <x:c r="E235" s="9" t="n">
        <x:v>33218560</x:v>
      </x:c>
      <x:c r="F235" s="10" t="n">
        <x:v>10.0007734</x:v>
      </x:c>
      <x:c r="G235" s="10" t="n">
        <x:f>E235/F235</x:f>
        <x:v>3321599.107525024</x:v>
      </x:c>
      <x:c r="H235" s="10" t="n">
        <x:v>59.89536769226268</x:v>
      </x:c>
      <x:c r="I235" s="2" t="str">
        <x:v>E.EventResult:GPU(Dense)</x:v>
      </x:c>
      <x:c r="J235" s="9" t="n">
        <x:v>8192</x:v>
      </x:c>
      <x:c r="K235" s="9" t="n">
        <x:v>8192</x:v>
      </x:c>
      <x:c r="L235" s="9" t="n">
        <x:v>32</x:v>
      </x:c>
      <x:c r="M235" s="2" t="str">
        <x:v>9KT7EQEZ0000</x:v>
      </x:c>
      <x:c r="N235" s="2" t="n">
        <x:v>4096</x:v>
      </x:c>
    </x:row>
    <x:row r="236" ht="22" customHeight="1">
      <x:c r="A236" s="2" t="str">
        <x:v>withdrawn-resource16-batch-transfer</x:v>
      </x:c>
      <x:c r="B236" s="2" t="str">
        <x:v>F03</x:v>
      </x:c>
      <x:c r="C236" s="2" t="str">
        <x:v>resource16frame60</x:v>
      </x:c>
      <x:c r="D236" s="2" t="n">
        <x:v>2</x:v>
      </x:c>
      <x:c r="E236" s="9" t="n">
        <x:v>37306368</x:v>
      </x:c>
      <x:c r="F236" s="10" t="n">
        <x:v>10.0028663</x:v>
      </x:c>
      <x:c r="G236" s="10" t="n">
        <x:f>E236/F236</x:f>
        <x:v>3729567.7939832103</x:v>
      </x:c>
      <x:c r="H236" s="10" t="n">
        <x:v>59.78286443756625</x:v>
      </x:c>
      <x:c r="I236" s="2" t="str">
        <x:v>E.EventResult:GPU(Dense)</x:v>
      </x:c>
      <x:c r="J236" s="9" t="n">
        <x:v>8192</x:v>
      </x:c>
      <x:c r="K236" s="9" t="n">
        <x:v>8192</x:v>
      </x:c>
      <x:c r="L236" s="9" t="n">
        <x:v>32</x:v>
      </x:c>
      <x:c r="M236" s="2" t="str">
        <x:v>9KT7EQEZ0000</x:v>
      </x:c>
      <x:c r="N236" s="2" t="n">
        <x:v>4096</x:v>
      </x:c>
    </x:row>
    <x:row r="237" ht="22" customHeight="1">
      <x:c r="A237" s="2" t="str">
        <x:v>withdrawn-resource16-batch-transfer</x:v>
      </x:c>
      <x:c r="B237" s="2" t="str">
        <x:v>F06</x:v>
      </x:c>
      <x:c r="C237" s="2" t="str">
        <x:v>resource16frame30</x:v>
      </x:c>
      <x:c r="D237" s="2" t="n">
        <x:v>1</x:v>
      </x:c>
      <x:c r="E237" s="9" t="n">
        <x:v>54886400</x:v>
      </x:c>
      <x:c r="F237" s="10" t="n">
        <x:v>10.0005466</x:v>
      </x:c>
      <x:c r="G237" s="10" t="n">
        <x:f>E237/F237</x:f>
        <x:v>5488340.007335199</x:v>
      </x:c>
      <x:c r="H237" s="10" t="n">
        <x:v>29.998360289626568</x:v>
      </x:c>
      <x:c r="I237" s="2" t="str">
        <x:v>T.TransformationAggregate:GPU(Dense)</x:v>
      </x:c>
      <x:c r="J237" s="9" t="n">
        <x:v>8192</x:v>
      </x:c>
      <x:c r="K237" s="9" t="n">
        <x:v>8192</x:v>
      </x:c>
      <x:c r="L237" s="9" t="n">
        <x:v>32</x:v>
      </x:c>
      <x:c r="M237" s="2" t="str">
        <x:v>9KT7EQEZ0000</x:v>
      </x:c>
      <x:c r="N237" s="2" t="n">
        <x:v>4096</x:v>
      </x:c>
    </x:row>
    <x:row r="238" ht="22" customHeight="1">
      <x:c r="A238" s="2" t="str">
        <x:v>withdrawn-resource16-batch-transfer</x:v>
      </x:c>
      <x:c r="B238" s="2" t="str">
        <x:v>F06</x:v>
      </x:c>
      <x:c r="C238" s="2" t="str">
        <x:v>resource16frame30</x:v>
      </x:c>
      <x:c r="D238" s="2" t="n">
        <x:v>2</x:v>
      </x:c>
      <x:c r="E238" s="9" t="n">
        <x:v>49094656</x:v>
      </x:c>
      <x:c r="F238" s="10" t="n">
        <x:v>10.0040891</x:v>
      </x:c>
      <x:c r="G238" s="10" t="n">
        <x:f>E238/F238</x:f>
        <x:v>4907458.890984887</x:v>
      </x:c>
      <x:c r="H238" s="10" t="n">
        <x:v>29.9877377141713</x:v>
      </x:c>
      <x:c r="I238" s="2" t="str">
        <x:v>T.TransformationAggregate:GPU(Dense)</x:v>
      </x:c>
      <x:c r="J238" s="9" t="n">
        <x:v>8192</x:v>
      </x:c>
      <x:c r="K238" s="9" t="n">
        <x:v>8192</x:v>
      </x:c>
      <x:c r="L238" s="9" t="n">
        <x:v>32</x:v>
      </x:c>
      <x:c r="M238" s="2" t="str">
        <x:v>9KT7EQEZ0000</x:v>
      </x:c>
      <x:c r="N238" s="2" t="n">
        <x:v>4096</x:v>
      </x:c>
    </x:row>
    <x:row r="239" ht="22" customHeight="1">
      <x:c r="A239" s="2" t="str">
        <x:v>withdrawn-resource16-batch-transfer</x:v>
      </x:c>
      <x:c r="B239" s="2" t="str">
        <x:v>F06</x:v>
      </x:c>
      <x:c r="C239" s="2" t="str">
        <x:v>resource16frame60</x:v>
      </x:c>
      <x:c r="D239" s="2" t="n">
        <x:v>1</x:v>
      </x:c>
      <x:c r="E239" s="9" t="n">
        <x:v>64135168</x:v>
      </x:c>
      <x:c r="F239" s="10" t="n">
        <x:v>10.0003184</x:v>
      </x:c>
      <x:c r="G239" s="10" t="n">
        <x:f>E239/F239</x:f>
        <x:v>6413312.600126812</x:v>
      </x:c>
      <x:c r="H239" s="10" t="n">
        <x:v>59.9980896608252</x:v>
      </x:c>
      <x:c r="I239" s="2" t="str">
        <x:v>T.TransformationAggregate:GPU(Dense)</x:v>
      </x:c>
      <x:c r="J239" s="9" t="n">
        <x:v>8192</x:v>
      </x:c>
      <x:c r="K239" s="9" t="n">
        <x:v>8192</x:v>
      </x:c>
      <x:c r="L239" s="9" t="n">
        <x:v>32</x:v>
      </x:c>
      <x:c r="M239" s="2" t="str">
        <x:v>9KT7EQEZ0000</x:v>
      </x:c>
      <x:c r="N239" s="2" t="n">
        <x:v>4096</x:v>
      </x:c>
    </x:row>
    <x:row r="240" ht="22" customHeight="1">
      <x:c r="A240" s="2" t="str">
        <x:v>withdrawn-resource16-batch-transfer</x:v>
      </x:c>
      <x:c r="B240" s="2" t="str">
        <x:v>F06</x:v>
      </x:c>
      <x:c r="C240" s="2" t="str">
        <x:v>resource16frame60</x:v>
      </x:c>
      <x:c r="D240" s="2" t="n">
        <x:v>2</x:v>
      </x:c>
      <x:c r="E240" s="9" t="n">
        <x:v>57188352</x:v>
      </x:c>
      <x:c r="F240" s="10" t="n">
        <x:v>10.00048</x:v>
      </x:c>
      <x:c r="G240" s="10" t="n">
        <x:f>E240/F240</x:f>
        <x:v>5718560.709085964</x:v>
      </x:c>
      <x:c r="H240" s="10" t="n">
        <x:v>59.99712013823337</x:v>
      </x:c>
      <x:c r="I240" s="2" t="str">
        <x:v>T.TransformationAggregate:GPU(Dense)</x:v>
      </x:c>
      <x:c r="J240" s="9" t="n">
        <x:v>8192</x:v>
      </x:c>
      <x:c r="K240" s="9" t="n">
        <x:v>8192</x:v>
      </x:c>
      <x:c r="L240" s="9" t="n">
        <x:v>32</x:v>
      </x:c>
      <x:c r="M240" s="2" t="str">
        <x:v>9KT7EQEZ0000</x:v>
      </x:c>
      <x:c r="N240" s="2" t="n">
        <x:v>4096</x:v>
      </x:c>
    </x:row>
    <x:row r="241" ht="22" customHeight="1">
      <x:c r="A241" s="2" t="str">
        <x:v>resource17-trial-R1-vs-resource16</x:v>
      </x:c>
      <x:c r="B241" s="2" t="str">
        <x:v>F04</x:v>
      </x:c>
      <x:c r="C241" s="2" t="str">
        <x:v>baseline</x:v>
      </x:c>
      <x:c r="D241" s="2" t="n">
        <x:v>1</x:v>
      </x:c>
      <x:c r="E241" s="9" t="n">
        <x:v>19464192</x:v>
      </x:c>
      <x:c r="F241" s="10" t="n">
        <x:v>10.0027833</x:v>
      </x:c>
      <x:c r="G241" s="10" t="n">
        <x:f>E241/F241</x:f>
        <x:v>1945877.60388651</x:v>
      </x:c>
      <x:c r="H241" s="10" t="n">
        <x:v>29.991652423380998</x:v>
      </x:c>
      <x:c r="I241" s="2" t="str">
        <x:v>W.World:GPU(Dense)</x:v>
      </x:c>
      <x:c r="J241" s="9" t="n">
        <x:v>1048576</x:v>
      </x:c>
      <x:c r="K241" s="9" t="n">
        <x:v>8192</x:v>
      </x:c>
      <x:c r="L241" s="9" t="n">
        <x:v>32</x:v>
      </x:c>
      <x:c r="M241" s="2" t="str">
        <x:v>9KT7EQEZ0000</x:v>
      </x:c>
      <x:c r="N241" s="2" t="n">
        <x:v>4096</x:v>
      </x:c>
    </x:row>
    <x:row r="242" ht="22" customHeight="1">
      <x:c r="A242" s="2" t="str">
        <x:v>resource17-trial-R1-vs-resource16</x:v>
      </x:c>
      <x:c r="B242" s="2" t="str">
        <x:v>F04</x:v>
      </x:c>
      <x:c r="C242" s="2" t="str">
        <x:v>baseline</x:v>
      </x:c>
      <x:c r="D242" s="2" t="n">
        <x:v>2</x:v>
      </x:c>
      <x:c r="E242" s="9" t="n">
        <x:v>19947520</x:v>
      </x:c>
      <x:c r="F242" s="10" t="n">
        <x:v>10.0023215</x:v>
      </x:c>
      <x:c r="G242" s="10" t="n">
        <x:f>E242/F242</x:f>
        <x:v>1994289.0258026598</x:v>
      </x:c>
      <x:c r="H242" s="10" t="n">
        <x:v>29.993037116433417</x:v>
      </x:c>
      <x:c r="I242" s="2" t="str">
        <x:v>W.World:GPU(Dense)</x:v>
      </x:c>
      <x:c r="J242" s="9" t="n">
        <x:v>1048576</x:v>
      </x:c>
      <x:c r="K242" s="9" t="n">
        <x:v>8192</x:v>
      </x:c>
      <x:c r="L242" s="9" t="n">
        <x:v>32</x:v>
      </x:c>
      <x:c r="M242" s="2" t="str">
        <x:v>9KT7EQEZ0000</x:v>
      </x:c>
      <x:c r="N242" s="2" t="n">
        <x:v>4096</x:v>
      </x:c>
    </x:row>
    <x:row r="243" ht="22" customHeight="1">
      <x:c r="A243" s="2" t="str">
        <x:v>resource17-trial-R1-vs-resource16</x:v>
      </x:c>
      <x:c r="B243" s="2" t="str">
        <x:v>F04</x:v>
      </x:c>
      <x:c r="C243" s="2" t="str">
        <x:v>candidate</x:v>
      </x:c>
      <x:c r="D243" s="2" t="n">
        <x:v>1</x:v>
      </x:c>
      <x:c r="E243" s="9" t="n">
        <x:v>19488768</x:v>
      </x:c>
      <x:c r="F243" s="10" t="n">
        <x:v>10.0035935</x:v>
      </x:c>
      <x:c r="G243" s="10" t="n">
        <x:f>E243/F243</x:f>
        <x:v>1948176.7226947</x:v>
      </x:c>
      <x:c r="H243" s="10" t="n">
        <x:v>29.989223372581066</x:v>
      </x:c>
      <x:c r="I243" s="2" t="str">
        <x:v>W.World:GPU(Dense)</x:v>
      </x:c>
      <x:c r="J243" s="9" t="n">
        <x:v>1048576</x:v>
      </x:c>
      <x:c r="K243" s="9" t="n">
        <x:v>8192</x:v>
      </x:c>
      <x:c r="L243" s="9" t="n">
        <x:v>32</x:v>
      </x:c>
      <x:c r="M243" s="2" t="str">
        <x:v>9KT7EQEZ0000</x:v>
      </x:c>
      <x:c r="N243" s="2" t="n">
        <x:v>4096</x:v>
      </x:c>
    </x:row>
    <x:row r="244" ht="22" customHeight="1">
      <x:c r="A244" s="2" t="str">
        <x:v>resource17-trial-R1-vs-resource16</x:v>
      </x:c>
      <x:c r="B244" s="2" t="str">
        <x:v>F04</x:v>
      </x:c>
      <x:c r="C244" s="2" t="str">
        <x:v>candidate</x:v>
      </x:c>
      <x:c r="D244" s="2" t="n">
        <x:v>2</x:v>
      </x:c>
      <x:c r="E244" s="9" t="n">
        <x:v>19578880</x:v>
      </x:c>
      <x:c r="F244" s="10" t="n">
        <x:v>10.0008972</x:v>
      </x:c>
      <x:c r="G244" s="10" t="n">
        <x:f>E244/F244</x:f>
        <x:v>1957712.3540475948</x:v>
      </x:c>
      <x:c r="H244" s="10" t="n">
        <x:v>29.997308641468685</x:v>
      </x:c>
      <x:c r="I244" s="2" t="str">
        <x:v>W.World:GPU(Dense)</x:v>
      </x:c>
      <x:c r="J244" s="9" t="n">
        <x:v>1048576</x:v>
      </x:c>
      <x:c r="K244" s="9" t="n">
        <x:v>8192</x:v>
      </x:c>
      <x:c r="L244" s="9" t="n">
        <x:v>32</x:v>
      </x:c>
      <x:c r="M244" s="2" t="str">
        <x:v>9KT7EQEZ0000</x:v>
      </x:c>
      <x:c r="N244" s="2" t="n">
        <x:v>4096</x:v>
      </x:c>
    </x:row>
    <x:row r="245" ht="22" customHeight="1">
      <x:c r="A245" s="2" t="str">
        <x:v>resource17-trial-R1-vs-resource16</x:v>
      </x:c>
      <x:c r="B245" s="2" t="str">
        <x:v>F04_SIMPLE</x:v>
      </x:c>
      <x:c r="C245" s="2" t="str">
        <x:v>baseline</x:v>
      </x:c>
      <x:c r="D245" s="2" t="n">
        <x:v>1</x:v>
      </x:c>
      <x:c r="E245" s="9" t="n">
        <x:v>7798784</x:v>
      </x:c>
      <x:c r="F245" s="10" t="n">
        <x:v>10.0032601</x:v>
      </x:c>
      <x:c r="G245" s="10" t="n">
        <x:f>E245/F245</x:f>
        <x:v>779624.2347032444</x:v>
      </x:c>
      <x:c r="H245" s="10" t="n">
        <x:v>29.990222887436467</x:v>
      </x:c>
      <x:c r="I245" s="2" t="str">
        <x:v>W.World:GPU(Dense)</x:v>
      </x:c>
      <x:c r="J245" s="9" t="n">
        <x:v>1048576</x:v>
      </x:c>
      <x:c r="K245" s="9" t="n">
        <x:v>8192</x:v>
      </x:c>
      <x:c r="L245" s="9" t="n">
        <x:v>32</x:v>
      </x:c>
      <x:c r="M245" s="2" t="str">
        <x:v>9KT7EQEZ0000</x:v>
      </x:c>
      <x:c r="N245" s="2" t="n">
        <x:v>4096</x:v>
      </x:c>
    </x:row>
    <x:row r="246" ht="22" customHeight="1">
      <x:c r="A246" s="2" t="str">
        <x:v>resource17-trial-R1-vs-resource16</x:v>
      </x:c>
      <x:c r="B246" s="2" t="str">
        <x:v>F04_SIMPLE</x:v>
      </x:c>
      <x:c r="C246" s="2" t="str">
        <x:v>baseline</x:v>
      </x:c>
      <x:c r="D246" s="2" t="n">
        <x:v>2</x:v>
      </x:c>
      <x:c r="E246" s="9" t="n">
        <x:v>7593984</x:v>
      </x:c>
      <x:c r="F246" s="10" t="n">
        <x:v>10.0113948</x:v>
      </x:c>
      <x:c r="G246" s="10" t="n">
        <x:f>E246/F246</x:f>
        <x:v>758534.0656029268</x:v>
      </x:c>
      <x:c r="H246" s="10" t="n">
        <x:v>29.965854508105107</x:v>
      </x:c>
      <x:c r="I246" s="2" t="str">
        <x:v>W.World:GPU(Dense)</x:v>
      </x:c>
      <x:c r="J246" s="9" t="n">
        <x:v>1048576</x:v>
      </x:c>
      <x:c r="K246" s="9" t="n">
        <x:v>8192</x:v>
      </x:c>
      <x:c r="L246" s="9" t="n">
        <x:v>32</x:v>
      </x:c>
      <x:c r="M246" s="2" t="str">
        <x:v>9KT7EQEZ0000</x:v>
      </x:c>
      <x:c r="N246" s="2" t="n">
        <x:v>4096</x:v>
      </x:c>
    </x:row>
    <x:row r="247" ht="22" customHeight="1">
      <x:c r="A247" s="2" t="str">
        <x:v>resource17-trial-R1-vs-resource16</x:v>
      </x:c>
      <x:c r="B247" s="2" t="str">
        <x:v>F04_SIMPLE</x:v>
      </x:c>
      <x:c r="C247" s="2" t="str">
        <x:v>candidate</x:v>
      </x:c>
      <x:c r="D247" s="2" t="n">
        <x:v>1</x:v>
      </x:c>
      <x:c r="E247" s="9" t="n">
        <x:v>8560640</x:v>
      </x:c>
      <x:c r="F247" s="10" t="n">
        <x:v>10.0038042</x:v>
      </x:c>
      <x:c r="G247" s="10" t="n">
        <x:f>E247/F247</x:f>
        <x:v>855738.4599750564</x:v>
      </x:c>
      <x:c r="H247" s="10" t="n">
        <x:v>30.08855371239673</x:v>
      </x:c>
      <x:c r="I247" s="2" t="str">
        <x:v>W.World:GPU(Dense)</x:v>
      </x:c>
      <x:c r="J247" s="9" t="n">
        <x:v>1048576</x:v>
      </x:c>
      <x:c r="K247" s="9" t="n">
        <x:v>8192</x:v>
      </x:c>
      <x:c r="L247" s="9" t="n">
        <x:v>32</x:v>
      </x:c>
      <x:c r="M247" s="2" t="str">
        <x:v>9KT7EQEZ0000</x:v>
      </x:c>
      <x:c r="N247" s="2" t="n">
        <x:v>4096</x:v>
      </x:c>
    </x:row>
    <x:row r="248" ht="22" customHeight="1">
      <x:c r="A248" s="2" t="str">
        <x:v>resource17-trial-R1-vs-resource16</x:v>
      </x:c>
      <x:c r="B248" s="2" t="str">
        <x:v>F04_SIMPLE</x:v>
      </x:c>
      <x:c r="C248" s="2" t="str">
        <x:v>candidate</x:v>
      </x:c>
      <x:c r="D248" s="2" t="n">
        <x:v>2</x:v>
      </x:c>
      <x:c r="E248" s="9" t="n">
        <x:v>8052736</x:v>
      </x:c>
      <x:c r="F248" s="10" t="n">
        <x:v>10.0074707</x:v>
      </x:c>
      <x:c r="G248" s="10" t="n">
        <x:f>E248/F248</x:f>
        <x:v>804672.4533502755</x:v>
      </x:c>
      <x:c r="H248" s="10" t="n">
        <x:v>30.07752997967808</x:v>
      </x:c>
      <x:c r="I248" s="2" t="str">
        <x:v>W.World:GPU(Dense)</x:v>
      </x:c>
      <x:c r="J248" s="9" t="n">
        <x:v>1048576</x:v>
      </x:c>
      <x:c r="K248" s="9" t="n">
        <x:v>8192</x:v>
      </x:c>
      <x:c r="L248" s="9" t="n">
        <x:v>32</x:v>
      </x:c>
      <x:c r="M248" s="2" t="str">
        <x:v>9KT7EQEZ0000</x:v>
      </x:c>
      <x:c r="N248" s="2" t="n">
        <x:v>4096</x:v>
      </x:c>
    </x:row>
    <x:row r="249" ht="22" customHeight="1">
      <x:c r="A249" s="2" t="str">
        <x:v>resource17-trial-R2-vs-resource16</x:v>
      </x:c>
      <x:c r="B249" s="2" t="str">
        <x:v>F03</x:v>
      </x:c>
      <x:c r="C249" s="2" t="str">
        <x:v>baseline</x:v>
      </x:c>
      <x:c r="D249" s="2" t="n">
        <x:v>1</x:v>
      </x:c>
      <x:c r="E249" s="9" t="n">
        <x:v>62308352</x:v>
      </x:c>
      <x:c r="F249" s="10" t="n">
        <x:v>10.0012207</x:v>
      </x:c>
      <x:c r="G249" s="10" t="n">
        <x:f>E249/F249</x:f>
        <x:v>6230074.694782008</x:v>
      </x:c>
      <x:c r="H249" s="10" t="n">
        <x:v>29.996338346977986</x:v>
      </x:c>
      <x:c r="I249" s="2" t="str">
        <x:v>E.EventResult:GPU(Dense)</x:v>
      </x:c>
      <x:c r="J249" s="9" t="n">
        <x:v>8388608</x:v>
      </x:c>
      <x:c r="K249" s="9" t="n">
        <x:v>8192</x:v>
      </x:c>
      <x:c r="L249" s="9" t="n">
        <x:v>32</x:v>
      </x:c>
      <x:c r="M249" s="2" t="str">
        <x:v>9KT7EQEZ0000</x:v>
      </x:c>
      <x:c r="N249" s="2" t="n">
        <x:v>4096</x:v>
      </x:c>
    </x:row>
    <x:row r="250" ht="22" customHeight="1">
      <x:c r="A250" s="2" t="str">
        <x:v>resource17-trial-R2-vs-resource16</x:v>
      </x:c>
      <x:c r="B250" s="2" t="str">
        <x:v>F03</x:v>
      </x:c>
      <x:c r="C250" s="2" t="str">
        <x:v>baseline</x:v>
      </x:c>
      <x:c r="D250" s="2" t="n">
        <x:v>2</x:v>
      </x:c>
      <x:c r="E250" s="9" t="n">
        <x:v>60817408</x:v>
      </x:c>
      <x:c r="F250" s="10" t="n">
        <x:v>10.000844</x:v>
      </x:c>
      <x:c r="G250" s="10" t="n">
        <x:f>E250/F250</x:f>
        <x:v>6081227.544395252</x:v>
      </x:c>
      <x:c r="H250" s="10" t="n">
        <x:v>29.99746821368276</x:v>
      </x:c>
      <x:c r="I250" s="2" t="str">
        <x:v>E.EventResult:GPU(Dense)</x:v>
      </x:c>
      <x:c r="J250" s="9" t="n">
        <x:v>8388608</x:v>
      </x:c>
      <x:c r="K250" s="9" t="n">
        <x:v>8192</x:v>
      </x:c>
      <x:c r="L250" s="9" t="n">
        <x:v>32</x:v>
      </x:c>
      <x:c r="M250" s="2" t="str">
        <x:v>9KT7EQEZ0000</x:v>
      </x:c>
      <x:c r="N250" s="2" t="n">
        <x:v>4096</x:v>
      </x:c>
    </x:row>
    <x:row r="251" ht="22" customHeight="1">
      <x:c r="A251" s="2" t="str">
        <x:v>resource17-trial-R2-vs-resource16</x:v>
      </x:c>
      <x:c r="B251" s="2" t="str">
        <x:v>F03</x:v>
      </x:c>
      <x:c r="C251" s="2" t="str">
        <x:v>candidate</x:v>
      </x:c>
      <x:c r="D251" s="2" t="n">
        <x:v>1</x:v>
      </x:c>
      <x:c r="E251" s="9" t="n">
        <x:v>62717952</x:v>
      </x:c>
      <x:c r="F251" s="10" t="n">
        <x:v>10.0009527</x:v>
      </x:c>
      <x:c r="G251" s="10" t="n">
        <x:f>E251/F251</x:f>
        <x:v>6271197.742991026</x:v>
      </x:c>
      <x:c r="H251" s="10" t="n">
        <x:v>29.99714217226525</x:v>
      </x:c>
      <x:c r="I251" s="2" t="str">
        <x:v>E.EventResult:GPU(Dense)</x:v>
      </x:c>
      <x:c r="J251" s="9" t="n">
        <x:v>8388608</x:v>
      </x:c>
      <x:c r="K251" s="9" t="n">
        <x:v>8192</x:v>
      </x:c>
      <x:c r="L251" s="9" t="n">
        <x:v>32</x:v>
      </x:c>
      <x:c r="M251" s="2" t="str">
        <x:v>9KT7EQEZ0000</x:v>
      </x:c>
      <x:c r="N251" s="2" t="n">
        <x:v>4096</x:v>
      </x:c>
    </x:row>
    <x:row r="252" ht="22" customHeight="1">
      <x:c r="A252" s="2" t="str">
        <x:v>resource17-trial-R2-vs-resource16</x:v>
      </x:c>
      <x:c r="B252" s="2" t="str">
        <x:v>F03</x:v>
      </x:c>
      <x:c r="C252" s="2" t="str">
        <x:v>candidate</x:v>
      </x:c>
      <x:c r="D252" s="2" t="n">
        <x:v>2</x:v>
      </x:c>
      <x:c r="E252" s="9" t="n">
        <x:v>68960256</x:v>
      </x:c>
      <x:c r="F252" s="10" t="n">
        <x:v>10.0008357</x:v>
      </x:c>
      <x:c r="G252" s="10" t="n">
        <x:f>E252/F252</x:f>
        <x:v>6895449.347298047</x:v>
      </x:c>
      <x:c r="H252" s="10" t="n">
        <x:v>29.99749310950084</x:v>
      </x:c>
      <x:c r="I252" s="2" t="str">
        <x:v>E.EventResult:GPU(Dense)</x:v>
      </x:c>
      <x:c r="J252" s="9" t="n">
        <x:v>8388608</x:v>
      </x:c>
      <x:c r="K252" s="9" t="n">
        <x:v>8192</x:v>
      </x:c>
      <x:c r="L252" s="9" t="n">
        <x:v>32</x:v>
      </x:c>
      <x:c r="M252" s="2" t="str">
        <x:v>9KT7EQEZ0000</x:v>
      </x:c>
      <x:c r="N252" s="2" t="n">
        <x:v>4096</x:v>
      </x:c>
    </x:row>
    <x:row r="253" ht="22" customHeight="1">
      <x:c r="A253" s="2" t="str">
        <x:v>resource17-trial-R2-vs-resource16</x:v>
      </x:c>
      <x:c r="B253" s="2" t="str">
        <x:v>F06</x:v>
      </x:c>
      <x:c r="C253" s="2" t="str">
        <x:v>baseline</x:v>
      </x:c>
      <x:c r="D253" s="2" t="n">
        <x:v>1</x:v>
      </x:c>
      <x:c r="E253" s="9" t="n">
        <x:v>99024896</x:v>
      </x:c>
      <x:c r="F253" s="10" t="n">
        <x:v>10.0024584</x:v>
      </x:c>
      <x:c r="G253" s="10" t="n">
        <x:f>E253/F253</x:f>
        <x:v>9900055.770289432</x:v>
      </x:c>
      <x:c r="H253" s="10" t="n">
        <x:v>30.092602034715785</x:v>
      </x:c>
      <x:c r="I253" s="2" t="str">
        <x:v>T.TransformationAggregate:GPU(Dense)</x:v>
      </x:c>
      <x:c r="J253" s="9" t="n">
        <x:v>8388608</x:v>
      </x:c>
      <x:c r="K253" s="9" t="n">
        <x:v>8192</x:v>
      </x:c>
      <x:c r="L253" s="9" t="n">
        <x:v>32</x:v>
      </x:c>
      <x:c r="M253" s="2" t="str">
        <x:v>9KT7EQEZ0000</x:v>
      </x:c>
      <x:c r="N253" s="2" t="n">
        <x:v>4096</x:v>
      </x:c>
    </x:row>
    <x:row r="254" ht="22" customHeight="1">
      <x:c r="A254" s="2" t="str">
        <x:v>resource17-trial-R2-vs-resource16</x:v>
      </x:c>
      <x:c r="B254" s="2" t="str">
        <x:v>F06</x:v>
      </x:c>
      <x:c r="C254" s="2" t="str">
        <x:v>baseline</x:v>
      </x:c>
      <x:c r="D254" s="2" t="n">
        <x:v>2</x:v>
      </x:c>
      <x:c r="E254" s="9" t="n">
        <x:v>90406912</x:v>
      </x:c>
      <x:c r="F254" s="10" t="n">
        <x:v>10.0001796</x:v>
      </x:c>
      <x:c r="G254" s="10" t="n">
        <x:f>E254/F254</x:f>
        <x:v>9040528.832102176</x:v>
      </x:c>
      <x:c r="H254" s="10" t="n">
        <x:v>29.999461209676678</x:v>
      </x:c>
      <x:c r="I254" s="2" t="str">
        <x:v>T.TransformationAggregate:GPU(Dense)</x:v>
      </x:c>
      <x:c r="J254" s="9" t="n">
        <x:v>8388608</x:v>
      </x:c>
      <x:c r="K254" s="9" t="n">
        <x:v>8192</x:v>
      </x:c>
      <x:c r="L254" s="9" t="n">
        <x:v>32</x:v>
      </x:c>
      <x:c r="M254" s="2" t="str">
        <x:v>9KT7EQEZ0000</x:v>
      </x:c>
      <x:c r="N254" s="2" t="n">
        <x:v>4096</x:v>
      </x:c>
    </x:row>
    <x:row r="255" ht="22" customHeight="1">
      <x:c r="A255" s="2" t="str">
        <x:v>resource17-trial-R2-vs-resource16</x:v>
      </x:c>
      <x:c r="B255" s="2" t="str">
        <x:v>F06</x:v>
      </x:c>
      <x:c r="C255" s="2" t="str">
        <x:v>candidate</x:v>
      </x:c>
      <x:c r="D255" s="2" t="n">
        <x:v>1</x:v>
      </x:c>
      <x:c r="E255" s="9" t="n">
        <x:v>94797824</x:v>
      </x:c>
      <x:c r="F255" s="10" t="n">
        <x:v>10.0001181</x:v>
      </x:c>
      <x:c r="G255" s="10" t="n">
        <x:f>E255/F255</x:f>
        <x:v>9479670.445092043</x:v>
      </x:c>
      <x:c r="H255" s="10" t="n">
        <x:v>29.999645704184235</x:v>
      </x:c>
      <x:c r="I255" s="2" t="str">
        <x:v>T.TransformationAggregate:GPU(Dense)</x:v>
      </x:c>
      <x:c r="J255" s="9" t="n">
        <x:v>8388608</x:v>
      </x:c>
      <x:c r="K255" s="9" t="n">
        <x:v>8192</x:v>
      </x:c>
      <x:c r="L255" s="9" t="n">
        <x:v>32</x:v>
      </x:c>
      <x:c r="M255" s="2" t="str">
        <x:v>9KT7EQEZ0000</x:v>
      </x:c>
      <x:c r="N255" s="2" t="n">
        <x:v>4096</x:v>
      </x:c>
    </x:row>
    <x:row r="256" ht="22" customHeight="1">
      <x:c r="A256" s="2" t="str">
        <x:v>resource17-trial-R2-vs-resource16</x:v>
      </x:c>
      <x:c r="B256" s="2" t="str">
        <x:v>F06</x:v>
      </x:c>
      <x:c r="C256" s="2" t="str">
        <x:v>candidate</x:v>
      </x:c>
      <x:c r="D256" s="2" t="n">
        <x:v>2</x:v>
      </x:c>
      <x:c r="E256" s="9" t="n">
        <x:v>94887936</x:v>
      </x:c>
      <x:c r="F256" s="10" t="n">
        <x:v>10.0000549</x:v>
      </x:c>
      <x:c r="G256" s="10" t="n">
        <x:f>E256/F256</x:f>
        <x:v>9488741.506809127</x:v>
      </x:c>
      <x:c r="H256" s="10" t="n">
        <x:v>29.9998353009042</x:v>
      </x:c>
      <x:c r="I256" s="2" t="str">
        <x:v>T.TransformationAggregate:GPU(Dense)</x:v>
      </x:c>
      <x:c r="J256" s="9" t="n">
        <x:v>8388608</x:v>
      </x:c>
      <x:c r="K256" s="9" t="n">
        <x:v>8192</x:v>
      </x:c>
      <x:c r="L256" s="9" t="n">
        <x:v>32</x:v>
      </x:c>
      <x:c r="M256" s="2" t="str">
        <x:v>9KT7EQEZ0000</x:v>
      </x:c>
      <x:c r="N256" s="2" t="n">
        <x:v>4096</x:v>
      </x:c>
    </x:row>
    <x:row r="257" ht="22" customHeight="1">
      <x:c r="A257" s="2" t="str">
        <x:v>resource17-trial-R3-vs-resource16</x:v>
      </x:c>
      <x:c r="B257" s="2" t="str">
        <x:v>F02</x:v>
      </x:c>
      <x:c r="C257" s="2" t="str">
        <x:v>baseline</x:v>
      </x:c>
      <x:c r="D257" s="2" t="n">
        <x:v>1</x:v>
      </x:c>
      <x:c r="E257" s="9" t="n">
        <x:v>3244032</x:v>
      </x:c>
      <x:c r="F257" s="10" t="n">
        <x:v>10.0047342</x:v>
      </x:c>
      <x:c r="G257" s="10" t="n">
        <x:f>E257/F257</x:f>
        <x:v>324249.6937100038</x:v>
      </x:c>
      <x:c r="H257" s="10" t="n">
        <x:v>29.98580412061322</x:v>
      </x:c>
      <x:c r="I257" s="2" t="str">
        <x:v>C.CombatReward:GPU(Dense)</x:v>
      </x:c>
      <x:c r="J257" s="9" t="n">
        <x:v>1048576</x:v>
      </x:c>
      <x:c r="K257" s="9" t="n">
        <x:v>8192</x:v>
      </x:c>
      <x:c r="L257" s="9" t="n">
        <x:v>32</x:v>
      </x:c>
      <x:c r="M257" s="2" t="str">
        <x:v>9KT7EQEZ0000</x:v>
      </x:c>
      <x:c r="N257" s="2" t="n">
        <x:v>4096</x:v>
      </x:c>
    </x:row>
    <x:row r="258" ht="22" customHeight="1">
      <x:c r="A258" s="2" t="str">
        <x:v>resource17-trial-R3-vs-resource16</x:v>
      </x:c>
      <x:c r="B258" s="2" t="str">
        <x:v>F02</x:v>
      </x:c>
      <x:c r="C258" s="2" t="str">
        <x:v>baseline</x:v>
      </x:c>
      <x:c r="D258" s="2" t="n">
        <x:v>2</x:v>
      </x:c>
      <x:c r="E258" s="9" t="n">
        <x:v>3080192</x:v>
      </x:c>
      <x:c r="F258" s="10" t="n">
        <x:v>10.012646</x:v>
      </x:c>
      <x:c r="G258" s="10" t="n">
        <x:f>E258/F258</x:f>
        <x:v>307630.1708858977</x:v>
      </x:c>
      <x:c r="H258" s="10" t="n">
        <x:v>29.96210991580048</x:v>
      </x:c>
      <x:c r="I258" s="2" t="str">
        <x:v>C.CombatReward:GPU(Dense)</x:v>
      </x:c>
      <x:c r="J258" s="9" t="n">
        <x:v>1048576</x:v>
      </x:c>
      <x:c r="K258" s="9" t="n">
        <x:v>8192</x:v>
      </x:c>
      <x:c r="L258" s="9" t="n">
        <x:v>32</x:v>
      </x:c>
      <x:c r="M258" s="2" t="str">
        <x:v>9KT7EQEZ0000</x:v>
      </x:c>
      <x:c r="N258" s="2" t="n">
        <x:v>4096</x:v>
      </x:c>
    </x:row>
    <x:row r="259" ht="22" customHeight="1">
      <x:c r="A259" s="2" t="str">
        <x:v>resource17-trial-R3-vs-resource16</x:v>
      </x:c>
      <x:c r="B259" s="2" t="str">
        <x:v>F02</x:v>
      </x:c>
      <x:c r="C259" s="2" t="str">
        <x:v>candidate</x:v>
      </x:c>
      <x:c r="D259" s="2" t="n">
        <x:v>1</x:v>
      </x:c>
      <x:c r="E259" s="9" t="n">
        <x:v>4489216</x:v>
      </x:c>
      <x:c r="F259" s="10" t="n">
        <x:v>10.0004084</x:v>
      </x:c>
      <x:c r="G259" s="10" t="n">
        <x:f>E259/F259</x:f>
        <x:v>448903.2667905843</x:v>
      </x:c>
      <x:c r="H259" s="10" t="n">
        <x:v>29.998774850035126</x:v>
      </x:c>
      <x:c r="I259" s="2" t="str">
        <x:v>C.CombatReward:GPU(Dense)</x:v>
      </x:c>
      <x:c r="J259" s="9" t="n">
        <x:v>1048576</x:v>
      </x:c>
      <x:c r="K259" s="9" t="n">
        <x:v>8192</x:v>
      </x:c>
      <x:c r="L259" s="9" t="n">
        <x:v>32</x:v>
      </x:c>
      <x:c r="M259" s="2" t="str">
        <x:v>9KT7EQEZ0000</x:v>
      </x:c>
      <x:c r="N259" s="2" t="n">
        <x:v>4096</x:v>
      </x:c>
    </x:row>
    <x:row r="260" ht="22" customHeight="1">
      <x:c r="A260" s="2" t="str">
        <x:v>resource17-trial-R3-vs-resource16</x:v>
      </x:c>
      <x:c r="B260" s="2" t="str">
        <x:v>F02</x:v>
      </x:c>
      <x:c r="C260" s="2" t="str">
        <x:v>candidate</x:v>
      </x:c>
      <x:c r="D260" s="2" t="n">
        <x:v>2</x:v>
      </x:c>
      <x:c r="E260" s="9" t="n">
        <x:v>4644864</x:v>
      </x:c>
      <x:c r="F260" s="10" t="n">
        <x:v>10.0103462</x:v>
      </x:c>
      <x:c r="G260" s="10" t="n">
        <x:f>E260/F260</x:f>
        <x:v>464006.3297710922</x:v>
      </x:c>
      <x:c r="H260" s="10" t="n">
        <x:v>29.968993479965757</x:v>
      </x:c>
      <x:c r="I260" s="2" t="str">
        <x:v>C.CombatReward:GPU(Dense)</x:v>
      </x:c>
      <x:c r="J260" s="9" t="n">
        <x:v>1048576</x:v>
      </x:c>
      <x:c r="K260" s="9" t="n">
        <x:v>8192</x:v>
      </x:c>
      <x:c r="L260" s="9" t="n">
        <x:v>32</x:v>
      </x:c>
      <x:c r="M260" s="2" t="str">
        <x:v>9KT7EQEZ0000</x:v>
      </x:c>
      <x:c r="N260" s="2" t="n">
        <x:v>4096</x:v>
      </x:c>
    </x:row>
    <x:row r="261" ht="22" customHeight="1">
      <x:c r="A261" s="2" t="str">
        <x:v>resource17-trial-R3-vs-resource16</x:v>
      </x:c>
      <x:c r="B261" s="2" t="str">
        <x:v>RC04</x:v>
      </x:c>
      <x:c r="C261" s="2" t="str">
        <x:v>baseline</x:v>
      </x:c>
      <x:c r="D261" s="2" t="n">
        <x:v>1</x:v>
      </x:c>
      <x:c r="E261" s="9" t="n">
        <x:v>213439741952</x:v>
      </x:c>
      <x:c r="F261" s="10" t="n">
        <x:v>10.0004453</x:v>
      </x:c>
      <x:c r="G261" s="10" t="n">
        <x:f>E261/F261</x:f>
        <x:v>21343023790.350613</x:v>
      </x:c>
      <x:c r="H261" s="10" t="n">
        <x:v>29.998664159484974</x:v>
      </x:c>
      <x:c r="I261" s="2" t="str">
        <x:v>N.Neow:GPU(Dense); R.Relic:CPU(CompactAbi1); C.CombatReward:GPU(CompactAbi1)</x:v>
      </x:c>
      <x:c r="J261" s="9" t="n">
        <x:v>33554432</x:v>
      </x:c>
      <x:c r="K261" s="9" t="n">
        <x:v>0</x:v>
      </x:c>
      <x:c r="L261" s="9" t="n">
        <x:v>32</x:v>
      </x:c>
      <x:c r="M261" s="2" t="str">
        <x:v>9KT7EQEZ0000</x:v>
      </x:c>
      <x:c r="N261" s="2" t="n">
        <x:v>4096</x:v>
      </x:c>
    </x:row>
    <x:row r="262" ht="22" customHeight="1">
      <x:c r="A262" s="2" t="str">
        <x:v>resource17-trial-R3-vs-resource16</x:v>
      </x:c>
      <x:c r="B262" s="2" t="str">
        <x:v>RC04</x:v>
      </x:c>
      <x:c r="C262" s="2" t="str">
        <x:v>baseline</x:v>
      </x:c>
      <x:c r="D262" s="2" t="n">
        <x:v>2</x:v>
      </x:c>
      <x:c r="E262" s="9" t="n">
        <x:v>217852149760</x:v>
      </x:c>
      <x:c r="F262" s="10" t="n">
        <x:v>10.0000326</x:v>
      </x:c>
      <x:c r="G262" s="10" t="n">
        <x:f>E262/F262</x:f>
        <x:v>21785143956.4307</x:v>
      </x:c>
      <x:c r="H262" s="10" t="n">
        <x:v>29.999902200318825</x:v>
      </x:c>
      <x:c r="I262" s="2" t="str">
        <x:v>N.Neow:GPU(Dense); R.Relic:CPU(CompactAbi1); C.CombatReward:GPU(CompactAbi1)</x:v>
      </x:c>
      <x:c r="J262" s="9" t="n">
        <x:v>33554432</x:v>
      </x:c>
      <x:c r="K262" s="9" t="n">
        <x:v>0</x:v>
      </x:c>
      <x:c r="L262" s="9" t="n">
        <x:v>32</x:v>
      </x:c>
      <x:c r="M262" s="2" t="str">
        <x:v>9KT7EQEZ0000</x:v>
      </x:c>
      <x:c r="N262" s="2" t="n">
        <x:v>4096</x:v>
      </x:c>
    </x:row>
    <x:row r="263" ht="22" customHeight="1">
      <x:c r="A263" s="2" t="str">
        <x:v>resource17-trial-R3-vs-resource16</x:v>
      </x:c>
      <x:c r="B263" s="2" t="str">
        <x:v>RC04</x:v>
      </x:c>
      <x:c r="C263" s="2" t="str">
        <x:v>candidate</x:v>
      </x:c>
      <x:c r="D263" s="2" t="n">
        <x:v>1</x:v>
      </x:c>
      <x:c r="E263" s="9" t="n">
        <x:v>219580203008</x:v>
      </x:c>
      <x:c r="F263" s="10" t="n">
        <x:v>10.0002984</x:v>
      </x:c>
      <x:c r="G263" s="10" t="n">
        <x:f>E263/F263</x:f>
        <x:v>21957365093.025623</x:v>
      </x:c>
      <x:c r="H263" s="10" t="n">
        <x:v>29.99910482671197</x:v>
      </x:c>
      <x:c r="I263" s="2" t="str">
        <x:v>N.Neow:GPU(Dense); R.Relic:CPU(CompactAbi1); C.CombatReward:GPU(CompactAbi1)</x:v>
      </x:c>
      <x:c r="J263" s="9" t="n">
        <x:v>33554432</x:v>
      </x:c>
      <x:c r="K263" s="9" t="n">
        <x:v>0</x:v>
      </x:c>
      <x:c r="L263" s="9" t="n">
        <x:v>32</x:v>
      </x:c>
      <x:c r="M263" s="2" t="str">
        <x:v>9KT7EQEZ0000</x:v>
      </x:c>
      <x:c r="N263" s="2" t="n">
        <x:v>4096</x:v>
      </x:c>
    </x:row>
    <x:row r="264" ht="22" customHeight="1">
      <x:c r="A264" s="2" t="str">
        <x:v>resource17-trial-R3-vs-resource16</x:v>
      </x:c>
      <x:c r="B264" s="2" t="str">
        <x:v>RC04</x:v>
      </x:c>
      <x:c r="C264" s="2" t="str">
        <x:v>candidate</x:v>
      </x:c>
      <x:c r="D264" s="2" t="n">
        <x:v>2</x:v>
      </x:c>
      <x:c r="E264" s="9" t="n">
        <x:v>228908335104</x:v>
      </x:c>
      <x:c r="F264" s="10" t="n">
        <x:v>10.0004249</x:v>
      </x:c>
      <x:c r="G264" s="10" t="n">
        <x:f>E264/F264</x:f>
        <x:v>22889860920.2095</x:v>
      </x:c>
      <x:c r="H264" s="10" t="n">
        <x:v>29.9987253541597</x:v>
      </x:c>
      <x:c r="I264" s="2" t="str">
        <x:v>N.Neow:GPU(Dense); R.Relic:CPU(CompactAbi1); C.CombatReward:GPU(CompactAbi1)</x:v>
      </x:c>
      <x:c r="J264" s="9" t="n">
        <x:v>33554432</x:v>
      </x:c>
      <x:c r="K264" s="9" t="n">
        <x:v>0</x:v>
      </x:c>
      <x:c r="L264" s="9" t="n">
        <x:v>32</x:v>
      </x:c>
      <x:c r="M264" s="2" t="str">
        <x:v>9KT7EQEZ0000</x:v>
      </x:c>
      <x:c r="N264" s="2" t="n">
        <x:v>4096</x:v>
      </x:c>
    </x:row>
  </x:sheetData>
  <x:pageMargins left="0.7" right="0.7" top="0.75" bottom="0.75" header="0.3" footer="0.3"/>
</x:worksheet>
</file>